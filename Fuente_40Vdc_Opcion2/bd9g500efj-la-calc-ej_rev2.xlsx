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codeName="ThisWorkbook" defaultThemeVersion="124226"/>
  <xr:revisionPtr revIDLastSave="0" documentId="13_ncr:1_{E426D9B9-1AC3-4690-845D-6C3E886BCD80}" xr6:coauthVersionLast="47" xr6:coauthVersionMax="47" xr10:uidLastSave="{00000000-0000-0000-0000-000000000000}"/>
  <workbookProtection workbookAlgorithmName="SHA-512" workbookHashValue="Q3TgujstYiOV3usUjkSC/CZ6EH11jtXwXgxgQ5Xo2rQqmRBLl1QxS06kbXF9LmhPWeACwwuxp33Xp2RYaRdUYw==" workbookSaltValue="IijFUfhFj17dnFzSlAn/SQ==" workbookSpinCount="100000" lockStructure="1"/>
  <bookViews>
    <workbookView xWindow="28680" yWindow="-120" windowWidth="29040" windowHeight="15840" activeTab="3" xr2:uid="{00000000-000D-0000-FFFF-FFFF00000000}"/>
  </bookViews>
  <sheets>
    <sheet name="License Agreement" sheetId="10" r:id="rId1"/>
    <sheet name="How to use" sheetId="9" r:id="rId2"/>
    <sheet name="1. Calculation sheet" sheetId="1" r:id="rId3"/>
    <sheet name="2. Calculation summary" sheetId="4" r:id="rId4"/>
    <sheet name="rev history" sheetId="3" r:id="rId5"/>
  </sheets>
  <definedNames>
    <definedName name="_xlnm._FilterDatabase" localSheetId="2" hidden="1">'1. Calculation sheet'!$C$50:$G$50</definedName>
    <definedName name="_xlnm.Print_Area" localSheetId="2">'1. Calculation sheet'!$A$1:$R$173</definedName>
    <definedName name="_xlnm.Print_Area" localSheetId="3">'2. Calculation summary'!$A$1:$W$56</definedName>
    <definedName name="_xlnm.Print_Area" localSheetId="1">'How to use'!$A$1:$Q$72</definedName>
    <definedName name="_xlnm.Print_Area" localSheetId="0">'License Agreement'!$A$1:$S$111</definedName>
    <definedName name="_xlnm.Print_Area" localSheetId="4">'rev history'!$A$1:$E$16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8" i="4" l="1"/>
  <c r="I47" i="4"/>
  <c r="F38" i="4" l="1"/>
  <c r="E130" i="1" l="1"/>
  <c r="E128" i="1"/>
  <c r="C48" i="4" l="1"/>
  <c r="F24" i="4"/>
  <c r="I19" i="4"/>
  <c r="C26" i="4"/>
  <c r="C25" i="4"/>
  <c r="D22" i="4"/>
  <c r="D21" i="4"/>
  <c r="F17" i="4"/>
  <c r="C17" i="4"/>
  <c r="C18" i="4"/>
  <c r="C16" i="4"/>
  <c r="I36" i="4"/>
  <c r="I35" i="4"/>
  <c r="G122" i="1" l="1"/>
  <c r="I24" i="4" s="1"/>
  <c r="E132" i="1"/>
  <c r="E121" i="1" s="1"/>
  <c r="N131" i="1" s="1"/>
  <c r="F97" i="1" l="1"/>
  <c r="E39" i="1" l="1"/>
  <c r="N39" i="1" s="1"/>
  <c r="F40" i="4" l="1"/>
  <c r="F39" i="4"/>
  <c r="F37" i="4"/>
  <c r="F16" i="4"/>
  <c r="F18" i="4"/>
  <c r="H111" i="1"/>
  <c r="F26" i="4" l="1"/>
  <c r="F25" i="4"/>
  <c r="S2" i="4" l="1"/>
  <c r="S1" i="4"/>
  <c r="C1" i="4"/>
  <c r="N2" i="1"/>
  <c r="N1" i="1"/>
  <c r="A1" i="1"/>
  <c r="F19" i="4" l="1"/>
  <c r="F23" i="4"/>
  <c r="F22" i="4"/>
  <c r="F21" i="4"/>
  <c r="E28" i="1" l="1"/>
  <c r="E106" i="1" l="1"/>
  <c r="E111" i="1" s="1"/>
  <c r="N164" i="1"/>
  <c r="E69" i="1"/>
  <c r="E75" i="1" s="1"/>
  <c r="E91" i="1"/>
  <c r="F46" i="4" s="1"/>
  <c r="N157" i="1"/>
  <c r="F51" i="4" s="1"/>
  <c r="E156" i="1"/>
  <c r="H36" i="4"/>
  <c r="F52" i="4" l="1"/>
  <c r="P164" i="1"/>
  <c r="N111" i="1"/>
  <c r="H38" i="4" s="1"/>
  <c r="K38" i="4"/>
  <c r="F49" i="4"/>
  <c r="E163" i="1"/>
  <c r="E82" i="1"/>
  <c r="E97" i="1"/>
  <c r="P156" i="1"/>
  <c r="P157" i="1"/>
  <c r="H56" i="1" l="1"/>
  <c r="P163" i="1"/>
  <c r="F50" i="4"/>
  <c r="F35" i="4"/>
  <c r="F48" i="4" l="1"/>
  <c r="H48" i="4" l="1"/>
  <c r="N97" i="1"/>
  <c r="H47" i="4" s="1"/>
  <c r="F47" i="4"/>
  <c r="E51" i="1"/>
  <c r="F20" i="4" s="1"/>
  <c r="F36" i="4"/>
  <c r="F45" i="4" l="1"/>
  <c r="F44" i="4"/>
</calcChain>
</file>

<file path=xl/sharedStrings.xml><?xml version="1.0" encoding="utf-8"?>
<sst xmlns="http://schemas.openxmlformats.org/spreadsheetml/2006/main" count="523" uniqueCount="370">
  <si>
    <t>:value of external parts / customer's condition</t>
    <phoneticPr fontId="1"/>
  </si>
  <si>
    <t>(2) Design Parameter</t>
    <phoneticPr fontId="1"/>
  </si>
  <si>
    <t>REV</t>
    <phoneticPr fontId="1"/>
  </si>
  <si>
    <t>Date</t>
    <phoneticPr fontId="1"/>
  </si>
  <si>
    <t>Overview</t>
    <phoneticPr fontId="1"/>
  </si>
  <si>
    <t>:internal typ value</t>
    <phoneticPr fontId="1"/>
  </si>
  <si>
    <t>(*)</t>
    <phoneticPr fontId="1"/>
  </si>
  <si>
    <t>:Setting range is limited</t>
    <phoneticPr fontId="1"/>
  </si>
  <si>
    <t>If there is NG, it is necessary to review the constant setting.</t>
    <phoneticPr fontId="1"/>
  </si>
  <si>
    <t>:auto calculated value</t>
    <phoneticPr fontId="1"/>
  </si>
  <si>
    <t>V</t>
  </si>
  <si>
    <t>A</t>
  </si>
  <si>
    <t>Output LC Filter</t>
  </si>
  <si>
    <t>Phase Compensation</t>
  </si>
  <si>
    <t>µF</t>
  </si>
  <si>
    <t>mV</t>
  </si>
  <si>
    <t>ms</t>
  </si>
  <si>
    <t>Recommendation</t>
    <phoneticPr fontId="1"/>
  </si>
  <si>
    <t>A/V</t>
  </si>
  <si>
    <t>pF</t>
  </si>
  <si>
    <t>µH</t>
  </si>
  <si>
    <t>Inductor Ripple Current</t>
  </si>
  <si>
    <t>Output Ripple Voltage</t>
  </si>
  <si>
    <t xml:space="preserve">Summary : </t>
  </si>
  <si>
    <t>NGがある場合は、定数設定を見直す必要があります。</t>
    <rPh sb="5" eb="7">
      <t>バアイ</t>
    </rPh>
    <rPh sb="9" eb="11">
      <t>テイスウ</t>
    </rPh>
    <rPh sb="11" eb="13">
      <t>セッテイ</t>
    </rPh>
    <rPh sb="14" eb="16">
      <t>ミナオ</t>
    </rPh>
    <rPh sb="17" eb="19">
      <t>ヒツヨウ</t>
    </rPh>
    <phoneticPr fontId="1"/>
  </si>
  <si>
    <t>Judge:</t>
    <phoneticPr fontId="1"/>
  </si>
  <si>
    <t>Inductor ripple current:</t>
  </si>
  <si>
    <t>Note:</t>
  </si>
  <si>
    <t>V (*)</t>
  </si>
  <si>
    <t>Notes:</t>
  </si>
  <si>
    <t>Inductance</t>
  </si>
  <si>
    <t>Output Capacitor</t>
  </si>
  <si>
    <t>Output Voltage Setting</t>
  </si>
  <si>
    <t>R5</t>
  </si>
  <si>
    <t>C4</t>
  </si>
  <si>
    <t>Cout</t>
  </si>
  <si>
    <t>L1</t>
  </si>
  <si>
    <t>µA/V</t>
  </si>
  <si>
    <t>:Value from 1. Calculation sheet</t>
  </si>
  <si>
    <t>この計算シートはデータシートに記載されている理論式を計算します。</t>
  </si>
  <si>
    <t>実際の評価ボードの特性は、寄生や部品誤差などによって、理論式の計算結果と異なる場合があります。</t>
  </si>
  <si>
    <t>最終的には、実際の評価ボードで特性を必ず評価して下さい。また、特性の調整が必要な場合は目的の特性に近づける為に周辺部品の値や条件を調整して下さい。</t>
  </si>
  <si>
    <t>This calculation sheet calculates the theoretical formula described in the data sheet.</t>
  </si>
  <si>
    <t>Actual evaluation board characteristics may not match the results of the theoretical formula due to part errors (accuracy, parasitics, etc.).</t>
  </si>
  <si>
    <t>It is highly recommended to check the characteristics on an actual evaluation board. If you need to improve the characteristics, adjust the external part values and conditions to get closer to your target.</t>
  </si>
  <si>
    <t>This sheet is a summary of the results calculated in "1. Calculation sheet".</t>
  </si>
  <si>
    <t>Each characteristic set in "1. Calculation sheet" is summarized in "(2) Design parameter".</t>
  </si>
  <si>
    <t>( If there is an NG item, return to "1. Calculation sheet" and review the values and conditions of the external parts. )</t>
  </si>
  <si>
    <t>If these conditions and your usage conditions are the same, use the external part values in this example (or list) as temporary values before adjustment instead of the results of theoretical formula calculations.</t>
  </si>
  <si>
    <t>In using this tool, you have agreed to the following license agreement.</t>
  </si>
  <si>
    <t>**************************************************************************************************</t>
  </si>
  <si>
    <t>Tool License Agreement</t>
  </si>
  <si>
    <t>Article 1 Definition of terms</t>
  </si>
  <si>
    <t>1.1. “You(r)” shall mean the user who uses and/or operates Tool in accordance with the terms and conditions of this Agreement.</t>
  </si>
  <si>
    <t>1.2. “ROHM” shall mean ROHM Co., Ltd, and its Affiliates as applicable to the terms and conditions of this Agreement.</t>
  </si>
  <si>
    <t>1.3. "Tool" shall mean technical document, calculation sheet, each model, simulator and related documents to support your design activity use of ROHM products.</t>
  </si>
  <si>
    <t>Article 2 License</t>
  </si>
  <si>
    <t xml:space="preserve">2.1. Subject to the terms and conditions of this Agreement, ROHM hereby grants You a non-exclusive and non-transferable license to download and use Tool. </t>
  </si>
  <si>
    <t>2.2. This Agreement shall also apply to any modified, updated and copied version of Tool.</t>
  </si>
  <si>
    <t>Article 3 Restrictions</t>
  </si>
  <si>
    <t xml:space="preserve">3.1 You shall not transfer, sell, sublicense or lend Tool to any third party. </t>
  </si>
  <si>
    <t>3.2. You shall not upload or release Tool on any network, including, but not limited to, the Internet and/or any Intranet system.</t>
  </si>
  <si>
    <t>3.3. You shall not remove the copyright notice included in Tool.</t>
  </si>
  <si>
    <t xml:space="preserve">3.4. You shall not reverse engineer, decompile, disassemble, or otherwise seek to determine any composition, structure, source code, underlying ideas, techniques or algorithms in Tolls. </t>
  </si>
  <si>
    <t>In addition, You shall not change or modify Tool.</t>
  </si>
  <si>
    <t xml:space="preserve">Article 4 Intellectual Property Rights </t>
  </si>
  <si>
    <t>4.1. Copyright (including the rights provided under Article 27 and 28 of Japanese Copyright Law) and any and all intellectual property rights relating to Tool shall belong to ROHM.</t>
  </si>
  <si>
    <t>Nothing in this Agreement shall transfer rights to You, in whole or in part, pertaining to Tool.</t>
  </si>
  <si>
    <t>4.2. Tool is protected under copyright laws and international copyright treaties, and any other intellectual property laws and treaties.</t>
  </si>
  <si>
    <t>Article 5 Confidentiality</t>
  </si>
  <si>
    <t>5.1. You shall maintain in strict confidence and shall not disclose Tool, in whole or in part, to third parties without written permission by ROHM.</t>
  </si>
  <si>
    <t>Article 6 Warranties and Disclaimers</t>
  </si>
  <si>
    <t xml:space="preserve">6.1. TOOL IS PROVIDED “AS IS” AND ROHM HEREBY DISCLAIMS ALL WARRANTIES WITH RESPECT TO TOOL, EITHER EXPRESS </t>
  </si>
  <si>
    <t>OR IMPLIED, INCLUDING, BUT NOT LIMITED TO, A PARTICULAR PURPOSE, ACCURACY, THE RESULT OF USE, THE ABSENCE OF NEGLIGENSE AND MERCHANTABILITY.</t>
  </si>
  <si>
    <t xml:space="preserve">6.2. IN NO EVENT SHALL ROHM BE LIABLE FOR ANY DAMAGES INCURRED BY YOU AND ANY THIRD PARTY DUE TO, ARISING FROM </t>
  </si>
  <si>
    <t>OR IN CONNECTION WITH THE USE OF TOOL, THE RESULT OF SUCH USE, OR INTERRUPTION OF USE OF TOOL.</t>
  </si>
  <si>
    <t>6.3. You hereby acknowledge that ROHM is not obliged to update Tool permanently or to fix bugs and flaws of Tool.</t>
  </si>
  <si>
    <t>6.4. You hereby acknowledge that ROHM is not obliged to provide you with any technical services and any support related to Tool.</t>
  </si>
  <si>
    <t>6.5. You hereby acknowledge that ROHM has the right to change or delete Tool (such as the specification of such Tool) without any notice to You.</t>
  </si>
  <si>
    <t>IN NO EVENT SHALL ROHM BE LIABLE FOR ANY DAMAGES INCURRED BY YOU DUE TO SUCH CHANGE.</t>
  </si>
  <si>
    <t>6.6. ROHM makes Tool with care to ensure accuracy.</t>
  </si>
  <si>
    <t>IN NO EVENT SHALL ROHM BE LIABLE FOR ANY DAMAGES INCURRED BY YOU DUE TO INCORRECT DESCRIPTION OR PRECISION OF CALCULATIONS IN TOOL.</t>
  </si>
  <si>
    <t>6.7. ROHM is not liable for incorrect application of Tool on any and all Your computer systems.</t>
  </si>
  <si>
    <t xml:space="preserve">6.8. Tool includes a calculation sheet to decide external constant in the event that You use ROHM products for circuit design; however, </t>
  </si>
  <si>
    <t>Tool cannot reflect the electrical performance under all conditions, nor does Tool warrant the actual operation.</t>
  </si>
  <si>
    <t>Article 7 Export controls</t>
  </si>
  <si>
    <t>7.1. You shall comply with all export laws and regulations that apply to Tool.</t>
  </si>
  <si>
    <t>Article 8 Miscellaneous</t>
  </si>
  <si>
    <t>8.1. If You fail to comply with any terms and conditions of this Agreement, Your rights under this Agreement will terminate automatically. In such case, You shall destroy Tool.</t>
  </si>
  <si>
    <t xml:space="preserve">8.2. In the event that there is a doubt in relation to any matter not provided for in this Agreement or any provision of this Agreement, </t>
  </si>
  <si>
    <t>it shall be resolved in consultation between You and ROHM.</t>
  </si>
  <si>
    <t>8.3. This Agreement shall be governed by the laws of Japan.  You agree that all disputes relating to this Agreement shall be exclusively submitted to Kyoto District Court of Japan.</t>
  </si>
  <si>
    <r>
      <t>V</t>
    </r>
    <r>
      <rPr>
        <vertAlign val="subscript"/>
        <sz val="9"/>
        <color theme="1"/>
        <rFont val="Arial"/>
        <family val="2"/>
      </rPr>
      <t>IN</t>
    </r>
  </si>
  <si>
    <r>
      <t>V</t>
    </r>
    <r>
      <rPr>
        <vertAlign val="subscript"/>
        <sz val="9"/>
        <color theme="1"/>
        <rFont val="Arial"/>
        <family val="2"/>
      </rPr>
      <t>OUT</t>
    </r>
  </si>
  <si>
    <r>
      <t>I</t>
    </r>
    <r>
      <rPr>
        <vertAlign val="subscript"/>
        <sz val="9"/>
        <color theme="1"/>
        <rFont val="Arial"/>
        <family val="2"/>
      </rPr>
      <t>SAT</t>
    </r>
  </si>
  <si>
    <r>
      <t>R</t>
    </r>
    <r>
      <rPr>
        <vertAlign val="subscript"/>
        <sz val="9"/>
        <color theme="1"/>
        <rFont val="Arial"/>
        <family val="2"/>
      </rPr>
      <t>ESR</t>
    </r>
  </si>
  <si>
    <r>
      <t>C</t>
    </r>
    <r>
      <rPr>
        <vertAlign val="subscript"/>
        <sz val="9"/>
        <color theme="1"/>
        <rFont val="Arial"/>
        <family val="2"/>
      </rPr>
      <t>LOAD</t>
    </r>
  </si>
  <si>
    <t xml:space="preserve">The calculation in this sheet are theoretical only. Parasitic elements are included in the real board and external components such as internal parasitic capacitance, </t>
  </si>
  <si>
    <t>L-C parasitic series resistance, parasitic inductance, etc. Therefore, the characteristic of the real board is a little different from the value calculated in this sheet.</t>
  </si>
  <si>
    <r>
      <rPr>
        <sz val="9"/>
        <rFont val="ＭＳ ゴシック"/>
        <family val="3"/>
        <charset val="128"/>
      </rPr>
      <t>このファイルは、以下のデータシート</t>
    </r>
    <r>
      <rPr>
        <sz val="9"/>
        <rFont val="Arial"/>
        <family val="2"/>
      </rPr>
      <t>Rev</t>
    </r>
    <r>
      <rPr>
        <sz val="9"/>
        <rFont val="ＭＳ ゴシック"/>
        <family val="3"/>
        <charset val="128"/>
      </rPr>
      <t>に記載された計算式から作成されました。</t>
    </r>
  </si>
  <si>
    <r>
      <t xml:space="preserve">* </t>
    </r>
    <r>
      <rPr>
        <sz val="9"/>
        <rFont val="ＭＳ ゴシック"/>
        <family val="3"/>
        <charset val="128"/>
      </rPr>
      <t>このファイルの使用にあたっては、</t>
    </r>
    <r>
      <rPr>
        <sz val="9"/>
        <rFont val="Arial"/>
        <family val="2"/>
      </rPr>
      <t xml:space="preserve">Licence Agreement </t>
    </r>
    <r>
      <rPr>
        <sz val="9"/>
        <rFont val="ＭＳ ゴシック"/>
        <family val="3"/>
        <charset val="128"/>
      </rPr>
      <t>に同意したものとみなされます。</t>
    </r>
  </si>
  <si>
    <r>
      <t xml:space="preserve">* </t>
    </r>
    <r>
      <rPr>
        <sz val="9"/>
        <rFont val="ＭＳ ゴシック"/>
        <family val="3"/>
        <charset val="128"/>
      </rPr>
      <t>本計算シート内の計算式はあくまで理論式であり、実製品とのズレやばらつき、温度特性に関して考慮されているものではありません。</t>
    </r>
  </si>
  <si>
    <r>
      <t xml:space="preserve">* </t>
    </r>
    <r>
      <rPr>
        <sz val="9"/>
        <rFont val="ＭＳ ゴシック"/>
        <family val="3"/>
        <charset val="128"/>
      </rPr>
      <t>詳細説明については、製品のデータシートを良くお読みください</t>
    </r>
  </si>
  <si>
    <t>This file was created from the formula in the following datasheet Rev.</t>
  </si>
  <si>
    <r>
      <rPr>
        <sz val="9"/>
        <rFont val="ＭＳ ゴシック"/>
        <family val="3"/>
        <charset val="128"/>
      </rPr>
      <t>データシートの情報から周辺部品の暫定値を決めます。</t>
    </r>
  </si>
  <si>
    <r>
      <rPr>
        <sz val="9"/>
        <rFont val="ＭＳ ゴシック"/>
        <family val="3"/>
        <charset val="128"/>
      </rPr>
      <t>データシートにアプリケーション例または推奨部品リストが記載されている場合、製品ははこれらの使用条件に最適化されています。</t>
    </r>
  </si>
  <si>
    <r>
      <rPr>
        <sz val="9"/>
        <rFont val="ＭＳ ゴシック"/>
        <family val="3"/>
        <charset val="128"/>
      </rPr>
      <t>出力設定や負荷値などの条件がご使用条件と同じ場合はデータシートの理論式の計算結果ではなく、この例や推奨リストの部品値を調整前の暫定値とします。</t>
    </r>
  </si>
  <si>
    <t>Determine the temporary value of the external part from the information in the datasheet.</t>
  </si>
  <si>
    <t>If an application example (or recommended parts list) is included in the datasheet, the product is optimized for use under these conditions (output settings, load values, etc.).</t>
  </si>
  <si>
    <r>
      <rPr>
        <sz val="9"/>
        <rFont val="ＭＳ ゴシック"/>
        <family val="3"/>
        <charset val="128"/>
      </rPr>
      <t>データシートに従って、各外付け部品の定数や条件を</t>
    </r>
    <r>
      <rPr>
        <sz val="9"/>
        <rFont val="Arial"/>
        <family val="2"/>
      </rPr>
      <t>"value of external parts / customer's condition"</t>
    </r>
    <r>
      <rPr>
        <sz val="9"/>
        <rFont val="ＭＳ ゴシック"/>
        <family val="3"/>
        <charset val="128"/>
      </rPr>
      <t>にセットしていきます。</t>
    </r>
  </si>
  <si>
    <r>
      <rPr>
        <sz val="9"/>
        <rFont val="ＭＳ ゴシック"/>
        <family val="3"/>
        <charset val="128"/>
      </rPr>
      <t>（</t>
    </r>
    <r>
      <rPr>
        <sz val="9"/>
        <rFont val="Arial"/>
        <family val="2"/>
      </rPr>
      <t xml:space="preserve">"internal typ value" </t>
    </r>
    <r>
      <rPr>
        <sz val="9"/>
        <rFont val="ＭＳ ゴシック"/>
        <family val="3"/>
        <charset val="128"/>
      </rPr>
      <t>は、製品内部で決まっている各種パラメータですが、初期状態では</t>
    </r>
    <r>
      <rPr>
        <sz val="9"/>
        <rFont val="Arial"/>
        <family val="2"/>
      </rPr>
      <t>Typical</t>
    </r>
    <r>
      <rPr>
        <sz val="9"/>
        <rFont val="ＭＳ ゴシック"/>
        <family val="3"/>
        <charset val="128"/>
      </rPr>
      <t>値を記載しています。</t>
    </r>
    <r>
      <rPr>
        <sz val="9"/>
        <rFont val="Arial"/>
        <family val="2"/>
      </rPr>
      <t xml:space="preserve"> </t>
    </r>
  </si>
  <si>
    <r>
      <t xml:space="preserve">  </t>
    </r>
    <r>
      <rPr>
        <sz val="9"/>
        <rFont val="ＭＳ ゴシック"/>
        <family val="3"/>
        <charset val="128"/>
      </rPr>
      <t>ばらつき等を考慮する場合は、データシートの項目値に従って、入力してください。</t>
    </r>
    <r>
      <rPr>
        <sz val="9"/>
        <rFont val="Arial"/>
        <family val="2"/>
      </rPr>
      <t xml:space="preserve"> </t>
    </r>
    <r>
      <rPr>
        <sz val="9"/>
        <rFont val="ＭＳ ゴシック"/>
        <family val="3"/>
        <charset val="128"/>
      </rPr>
      <t>）</t>
    </r>
  </si>
  <si>
    <t>Set the external part values and condition values in the "value of external parts / customer's condition" cell, referring to the explanation in the datasheet.</t>
  </si>
  <si>
    <t xml:space="preserve">  When considering the variation in the values, refer to the electrical characteristics table in the datasheet.)</t>
  </si>
  <si>
    <r>
      <t>1. Calculation sheet</t>
    </r>
    <r>
      <rPr>
        <sz val="9"/>
        <rFont val="ＭＳ ゴシック"/>
        <family val="3"/>
        <charset val="128"/>
      </rPr>
      <t>で計算した結果のまとめです。</t>
    </r>
    <r>
      <rPr>
        <sz val="9"/>
        <rFont val="Arial"/>
        <family val="2"/>
      </rPr>
      <t xml:space="preserve"> </t>
    </r>
  </si>
  <si>
    <r>
      <t xml:space="preserve">(2) Design parameter </t>
    </r>
    <r>
      <rPr>
        <sz val="9"/>
        <rFont val="ＭＳ ゴシック"/>
        <family val="3"/>
        <charset val="128"/>
      </rPr>
      <t>に、</t>
    </r>
    <r>
      <rPr>
        <sz val="9"/>
        <rFont val="Arial"/>
        <family val="2"/>
      </rPr>
      <t>"1. Calculation sheet"</t>
    </r>
    <r>
      <rPr>
        <sz val="9"/>
        <rFont val="ＭＳ ゴシック"/>
        <family val="3"/>
        <charset val="128"/>
      </rPr>
      <t>で設定された諸特性がまとめられています。</t>
    </r>
  </si>
  <si>
    <r>
      <rPr>
        <sz val="9"/>
        <rFont val="ＭＳ ゴシック"/>
        <family val="3"/>
        <charset val="128"/>
      </rPr>
      <t>（</t>
    </r>
    <r>
      <rPr>
        <sz val="9"/>
        <rFont val="Arial"/>
        <family val="2"/>
      </rPr>
      <t>NG</t>
    </r>
    <r>
      <rPr>
        <sz val="9"/>
        <rFont val="ＭＳ ゴシック"/>
        <family val="3"/>
        <charset val="128"/>
      </rPr>
      <t>項目があれば、</t>
    </r>
    <r>
      <rPr>
        <sz val="9"/>
        <rFont val="Arial"/>
        <family val="2"/>
      </rPr>
      <t>"1. Calculation sheet"</t>
    </r>
    <r>
      <rPr>
        <sz val="9"/>
        <rFont val="ＭＳ ゴシック"/>
        <family val="3"/>
        <charset val="128"/>
      </rPr>
      <t>に戻り、外付け定数や条件を見直してください。）</t>
    </r>
  </si>
  <si>
    <r>
      <rPr>
        <sz val="9"/>
        <rFont val="ＭＳ ゴシック"/>
        <family val="3"/>
        <charset val="128"/>
      </rPr>
      <t>実際の評価ボードで製品を評価します。</t>
    </r>
  </si>
  <si>
    <r>
      <rPr>
        <sz val="9"/>
        <rFont val="ＭＳ ゴシック"/>
        <family val="3"/>
        <charset val="128"/>
      </rPr>
      <t>実際の評価ボードで特性を必ず評価して下さい。（試作基板の回路図を決定する前に、実際の評価ボードで特性を確認することを強くお勧めします。）</t>
    </r>
  </si>
  <si>
    <r>
      <rPr>
        <sz val="9"/>
        <rFont val="ＭＳ ゴシック"/>
        <family val="3"/>
        <charset val="128"/>
      </rPr>
      <t>特性の改善が必要な場合は、外付け部品などの値を調整して目的に近づけます。</t>
    </r>
  </si>
  <si>
    <r>
      <rPr>
        <sz val="9"/>
        <rFont val="ＭＳ ゴシック"/>
        <family val="3"/>
        <charset val="128"/>
      </rPr>
      <t>決定された部品の値を使用して、試作基板でも特性が問題ないか評価します。</t>
    </r>
  </si>
  <si>
    <t>Evaluate the product on the actual evaluation board.</t>
  </si>
  <si>
    <t>You must evaluate the characteristics on a real evaluation board.</t>
  </si>
  <si>
    <t>Using the determined part values, also check the characteristics of your prototype board.</t>
  </si>
  <si>
    <r>
      <rPr>
        <sz val="9"/>
        <color theme="1"/>
        <rFont val="ＭＳ ゴシック"/>
        <family val="3"/>
        <charset val="128"/>
      </rPr>
      <t>本ツールの使用にあたっては、お客様は以下の使用許諾内容に合意しています。</t>
    </r>
  </si>
  <si>
    <r>
      <rPr>
        <sz val="9"/>
        <color theme="1"/>
        <rFont val="ＭＳ ゴシック"/>
        <family val="3"/>
        <charset val="128"/>
      </rPr>
      <t>ツール使用許諾書</t>
    </r>
  </si>
  <si>
    <r>
      <t>1.</t>
    </r>
    <r>
      <rPr>
        <sz val="9"/>
        <color theme="1"/>
        <rFont val="ＭＳ ゴシック"/>
        <family val="3"/>
        <charset val="128"/>
      </rPr>
      <t>「お客様」とは、本契約の条件に従って「本ツール」を使用するユーザーを意味します。</t>
    </r>
  </si>
  <si>
    <r>
      <t>2.</t>
    </r>
    <r>
      <rPr>
        <sz val="9"/>
        <color theme="1"/>
        <rFont val="ＭＳ ゴシック"/>
        <family val="3"/>
        <charset val="128"/>
      </rPr>
      <t>「弊社」とは、ローム株式会社及びローム関連会社（該当する場合には）を意味します。</t>
    </r>
  </si>
  <si>
    <r>
      <t>3.</t>
    </r>
    <r>
      <rPr>
        <sz val="9"/>
        <color theme="1"/>
        <rFont val="ＭＳ ゴシック"/>
        <family val="3"/>
        <charset val="128"/>
      </rPr>
      <t>「本ツール」とは、弊社の製品を使った設計をサポートする、技術資料、計算シート、各種モデル、シュミレーターおよびそれらに関するドキュメントを意味します。</t>
    </r>
  </si>
  <si>
    <r>
      <rPr>
        <sz val="9"/>
        <color theme="1"/>
        <rFont val="ＭＳ ゴシック"/>
        <family val="3"/>
        <charset val="128"/>
      </rPr>
      <t>本使用許諾書は、本ツールの修正版、アップデート版、またコピーされたものにも適用されるものとします。</t>
    </r>
  </si>
  <si>
    <r>
      <t>1.</t>
    </r>
    <r>
      <rPr>
        <sz val="9"/>
        <color theme="1"/>
        <rFont val="ＭＳ ゴシック"/>
        <family val="3"/>
        <charset val="128"/>
      </rPr>
      <t>お客様は、本ツールを第三者に譲渡、販売、再使用許諾、貸与等することはできません。</t>
    </r>
  </si>
  <si>
    <r>
      <t>2.</t>
    </r>
    <r>
      <rPr>
        <sz val="9"/>
        <color theme="1"/>
        <rFont val="ＭＳ ゴシック"/>
        <family val="3"/>
        <charset val="128"/>
      </rPr>
      <t>お客様は、インターネット、イントラネットを含むいかなるネットワーク上においても本ツールをアップロード、公開することはできません。</t>
    </r>
  </si>
  <si>
    <r>
      <t>3.</t>
    </r>
    <r>
      <rPr>
        <sz val="9"/>
        <color theme="1"/>
        <rFont val="ＭＳ ゴシック"/>
        <family val="3"/>
        <charset val="128"/>
      </rPr>
      <t>お客様は、本ツールに含まれている著作権表示を取り除くことはできません。</t>
    </r>
  </si>
  <si>
    <r>
      <t>4.</t>
    </r>
    <r>
      <rPr>
        <sz val="9"/>
        <color theme="1"/>
        <rFont val="ＭＳ ゴシック"/>
        <family val="3"/>
        <charset val="128"/>
      </rPr>
      <t>お客様は、本ツールのリバースエンジニアリング、逆コンパイル、逆アセンブル、その他の解析又は改造等をすることはできません。</t>
    </r>
  </si>
  <si>
    <r>
      <rPr>
        <sz val="9"/>
        <color theme="1"/>
        <rFont val="ＭＳ ゴシック"/>
        <family val="3"/>
        <charset val="128"/>
      </rPr>
      <t>本使用許諾書のいかなる内容も、本ツールにかかる権利の全部または一部をお客様に譲渡するものではありません。</t>
    </r>
  </si>
  <si>
    <r>
      <t>2.</t>
    </r>
    <r>
      <rPr>
        <sz val="9"/>
        <color theme="1"/>
        <rFont val="ＭＳ ゴシック"/>
        <family val="3"/>
        <charset val="128"/>
      </rPr>
      <t>本ツールは、著作権法及び国際著作権条約並びにその他の知的財産権に関する法律及び条約により保護されています。</t>
    </r>
  </si>
  <si>
    <r>
      <t>1.</t>
    </r>
    <r>
      <rPr>
        <sz val="9"/>
        <color theme="1"/>
        <rFont val="ＭＳ ゴシック"/>
        <family val="3"/>
        <charset val="128"/>
      </rPr>
      <t>お客様は、本ツールを秘密として保持し、許可なくその全部または一部を第三者に開示・公開することはできません。</t>
    </r>
  </si>
  <si>
    <r>
      <t>1.</t>
    </r>
    <r>
      <rPr>
        <sz val="9"/>
        <color theme="1"/>
        <rFont val="ＭＳ ゴシック"/>
        <family val="3"/>
        <charset val="128"/>
      </rPr>
      <t>弊社は、本ツールを現状有姿のまま提供するものとします。そのため、本ツールに関して、</t>
    </r>
  </si>
  <si>
    <r>
      <rPr>
        <sz val="9"/>
        <color theme="1"/>
        <rFont val="ＭＳ ゴシック"/>
        <family val="3"/>
        <charset val="128"/>
      </rPr>
      <t>商品性、特定の目的に対する適合性、応答の的確性、使用結果、過失の不存在を含め、明示または黙示であるとを問わず、一切の保証を致しません。</t>
    </r>
  </si>
  <si>
    <r>
      <t>2.</t>
    </r>
    <r>
      <rPr>
        <sz val="9"/>
        <color theme="1"/>
        <rFont val="ＭＳ ゴシック"/>
        <family val="3"/>
        <charset val="128"/>
      </rPr>
      <t>弊社は、本ツールの使用、および使用結果の使用、または使用不能によってお客様又は第三者に生じるいかなる損害に関しても、一切の責任を負いません。</t>
    </r>
  </si>
  <si>
    <r>
      <t>3.</t>
    </r>
    <r>
      <rPr>
        <sz val="9"/>
        <color theme="1"/>
        <rFont val="ＭＳ ゴシック"/>
        <family val="3"/>
        <charset val="128"/>
      </rPr>
      <t>弊社は、本ツールの恒久的なバージョンアップ及び不具合の修正義務を負いません。</t>
    </r>
  </si>
  <si>
    <r>
      <t>4.</t>
    </r>
    <r>
      <rPr>
        <sz val="9"/>
        <color theme="1"/>
        <rFont val="ＭＳ ゴシック"/>
        <family val="3"/>
        <charset val="128"/>
      </rPr>
      <t>弊社は、お客様に対し、本ツールに関するいかなる技術的役務その他の一切のサポートの提供義務も負いません。</t>
    </r>
  </si>
  <si>
    <r>
      <t>5.</t>
    </r>
    <r>
      <rPr>
        <sz val="9"/>
        <color theme="1"/>
        <rFont val="ＭＳ ゴシック"/>
        <family val="3"/>
        <charset val="128"/>
      </rPr>
      <t>弊社は、本ツールの仕様等について、お客様への連絡なく変更又は削除できるものとします。</t>
    </r>
  </si>
  <si>
    <r>
      <rPr>
        <sz val="9"/>
        <color theme="1"/>
        <rFont val="ＭＳ ゴシック"/>
        <family val="3"/>
        <charset val="128"/>
      </rPr>
      <t>弊社は、当該変更によりお客様が被るいかなる損害に関しても、一切の責任を負いません。</t>
    </r>
  </si>
  <si>
    <r>
      <t>6.</t>
    </r>
    <r>
      <rPr>
        <sz val="9"/>
        <color theme="1"/>
        <rFont val="ＭＳ ゴシック"/>
        <family val="3"/>
        <charset val="128"/>
      </rPr>
      <t>本ツールは、正確を期すため慎重に製作したものですが、万一本ツールの記述の誤りや計算精度に起因する損害がお客様に生じた場合においても、</t>
    </r>
  </si>
  <si>
    <r>
      <rPr>
        <sz val="9"/>
        <color theme="1"/>
        <rFont val="ＭＳ ゴシック"/>
        <family val="3"/>
        <charset val="128"/>
      </rPr>
      <t>弊社は一切の責任を負いません。</t>
    </r>
  </si>
  <si>
    <r>
      <t>7.</t>
    </r>
    <r>
      <rPr>
        <sz val="9"/>
        <color theme="1"/>
        <rFont val="ＭＳ ゴシック"/>
        <family val="3"/>
        <charset val="128"/>
      </rPr>
      <t>弊社は、本ツールが全てのコンピュータシステムで正確に適用できるかどうかについて、一切の責任を負いません。</t>
    </r>
  </si>
  <si>
    <r>
      <t>8.</t>
    </r>
    <r>
      <rPr>
        <sz val="9"/>
        <color theme="1"/>
        <rFont val="ＭＳ ゴシック"/>
        <family val="3"/>
        <charset val="128"/>
      </rPr>
      <t>本ツールは、弊社の製品を使った回路設計において、外付け定数を決める計算ツールも含まれますが、</t>
    </r>
  </si>
  <si>
    <r>
      <rPr>
        <sz val="9"/>
        <color theme="1"/>
        <rFont val="ＭＳ ゴシック"/>
        <family val="3"/>
        <charset val="128"/>
      </rPr>
      <t>全ての条件下における電気的性能を表すものではなく、実動作を保証するものではありません。</t>
    </r>
  </si>
  <si>
    <r>
      <rPr>
        <sz val="9"/>
        <color theme="1"/>
        <rFont val="ＭＳ ゴシック"/>
        <family val="3"/>
        <charset val="128"/>
      </rPr>
      <t>お客様は、本ツールに適用される全ての輸出関連法令を遵守するものとします。</t>
    </r>
  </si>
  <si>
    <r>
      <t>1.</t>
    </r>
    <r>
      <rPr>
        <sz val="9"/>
        <color theme="1"/>
        <rFont val="ＭＳ ゴシック"/>
        <family val="3"/>
        <charset val="128"/>
      </rPr>
      <t>お客様が本使用許諾書の内容に違反した場合、本ツールの使用は自動的に終了いたします。この場合、お客様は本ツールを破棄するものとします。</t>
    </r>
  </si>
  <si>
    <r>
      <t>2.</t>
    </r>
    <r>
      <rPr>
        <sz val="9"/>
        <color theme="1"/>
        <rFont val="ＭＳ ゴシック"/>
        <family val="3"/>
        <charset val="128"/>
      </rPr>
      <t>本使用許諾書に規定のない事項及び本使用許諾書の解釈につき疑義が生じたときは、弊社とお客様との間で協議の上、解決するものとします。</t>
    </r>
  </si>
  <si>
    <r>
      <t>3.</t>
    </r>
    <r>
      <rPr>
        <sz val="9"/>
        <color theme="1"/>
        <rFont val="ＭＳ ゴシック"/>
        <family val="3"/>
        <charset val="128"/>
      </rPr>
      <t>本使用許諾書は日本国法に準拠するものとします。本使用許諾書に関わる紛争は、京都地方裁判所を第一審の専属的合意管轄裁判所とします。</t>
    </r>
  </si>
  <si>
    <t>-</t>
  </si>
  <si>
    <r>
      <t>I</t>
    </r>
    <r>
      <rPr>
        <vertAlign val="subscript"/>
        <sz val="9"/>
        <color theme="1"/>
        <rFont val="Arial"/>
        <family val="2"/>
      </rPr>
      <t>OUTMAX</t>
    </r>
  </si>
  <si>
    <r>
      <rPr>
        <sz val="9"/>
        <color theme="1"/>
        <rFont val="ＭＳ ゴシック"/>
        <family val="3"/>
        <charset val="128"/>
      </rPr>
      <t>使用許諾内容に合意できない場合は、本ツールの使用はできませんので、破棄してください。</t>
    </r>
  </si>
  <si>
    <t>If you do not agree, you will not be able to use this tool. In such case, you shall destroy this tool.</t>
    <phoneticPr fontId="8"/>
  </si>
  <si>
    <r>
      <rPr>
        <sz val="9"/>
        <color theme="1"/>
        <rFont val="ＭＳ ゴシック"/>
        <family val="3"/>
        <charset val="128"/>
      </rPr>
      <t>第</t>
    </r>
    <r>
      <rPr>
        <sz val="11"/>
        <color theme="1"/>
        <rFont val="Calibri"/>
        <family val="2"/>
        <scheme val="minor"/>
      </rPr>
      <t>1</t>
    </r>
    <r>
      <rPr>
        <sz val="9"/>
        <color theme="1"/>
        <rFont val="ＭＳ ゴシック"/>
        <family val="3"/>
        <charset val="128"/>
      </rPr>
      <t>条</t>
    </r>
    <r>
      <rPr>
        <sz val="11"/>
        <color theme="1"/>
        <rFont val="Calibri"/>
        <family val="2"/>
        <scheme val="minor"/>
      </rPr>
      <t xml:space="preserve"> </t>
    </r>
    <r>
      <rPr>
        <sz val="9"/>
        <color theme="1"/>
        <rFont val="ＭＳ ゴシック"/>
        <family val="3"/>
        <charset val="128"/>
      </rPr>
      <t>用語の定義</t>
    </r>
  </si>
  <si>
    <r>
      <rPr>
        <sz val="9"/>
        <color theme="1"/>
        <rFont val="ＭＳ ゴシック"/>
        <family val="3"/>
        <charset val="128"/>
      </rPr>
      <t>第</t>
    </r>
    <r>
      <rPr>
        <sz val="11"/>
        <color theme="1"/>
        <rFont val="Calibri"/>
        <family val="2"/>
        <scheme val="minor"/>
      </rPr>
      <t>2</t>
    </r>
    <r>
      <rPr>
        <sz val="9"/>
        <color theme="1"/>
        <rFont val="ＭＳ ゴシック"/>
        <family val="3"/>
        <charset val="128"/>
      </rPr>
      <t>条</t>
    </r>
    <r>
      <rPr>
        <sz val="11"/>
        <color theme="1"/>
        <rFont val="Calibri"/>
        <family val="2"/>
        <scheme val="minor"/>
      </rPr>
      <t xml:space="preserve"> </t>
    </r>
    <r>
      <rPr>
        <sz val="9"/>
        <color theme="1"/>
        <rFont val="ＭＳ ゴシック"/>
        <family val="3"/>
        <charset val="128"/>
      </rPr>
      <t>使用許諾</t>
    </r>
  </si>
  <si>
    <r>
      <t>1.</t>
    </r>
    <r>
      <rPr>
        <sz val="9"/>
        <color theme="1"/>
        <rFont val="ＭＳ ゴシック"/>
        <family val="3"/>
        <charset val="128"/>
      </rPr>
      <t>弊社は、本使用許諾書に同意したお客様に対して、本ツールをダウンロードして使用する非独占的で譲渡不能な権利を許諾致します。</t>
    </r>
  </si>
  <si>
    <r>
      <rPr>
        <sz val="9"/>
        <color theme="1"/>
        <rFont val="ＭＳ ゴシック"/>
        <family val="3"/>
        <charset val="128"/>
      </rPr>
      <t>第</t>
    </r>
    <r>
      <rPr>
        <sz val="11"/>
        <color theme="1"/>
        <rFont val="Calibri"/>
        <family val="2"/>
        <scheme val="minor"/>
      </rPr>
      <t>3</t>
    </r>
    <r>
      <rPr>
        <sz val="9"/>
        <color theme="1"/>
        <rFont val="ＭＳ ゴシック"/>
        <family val="3"/>
        <charset val="128"/>
      </rPr>
      <t>条</t>
    </r>
    <r>
      <rPr>
        <sz val="11"/>
        <color theme="1"/>
        <rFont val="Calibri"/>
        <family val="2"/>
        <scheme val="minor"/>
      </rPr>
      <t xml:space="preserve"> </t>
    </r>
    <r>
      <rPr>
        <sz val="9"/>
        <color theme="1"/>
        <rFont val="ＭＳ ゴシック"/>
        <family val="3"/>
        <charset val="128"/>
      </rPr>
      <t>制限事項</t>
    </r>
    <r>
      <rPr>
        <sz val="11"/>
        <color theme="1"/>
        <rFont val="Calibri"/>
        <family val="2"/>
        <scheme val="minor"/>
      </rPr>
      <t xml:space="preserve"> </t>
    </r>
  </si>
  <si>
    <r>
      <rPr>
        <sz val="9"/>
        <color theme="1"/>
        <rFont val="ＭＳ ゴシック"/>
        <family val="3"/>
        <charset val="128"/>
      </rPr>
      <t>第</t>
    </r>
    <r>
      <rPr>
        <sz val="11"/>
        <color theme="1"/>
        <rFont val="Calibri"/>
        <family val="2"/>
        <scheme val="minor"/>
      </rPr>
      <t>4</t>
    </r>
    <r>
      <rPr>
        <sz val="9"/>
        <color theme="1"/>
        <rFont val="ＭＳ ゴシック"/>
        <family val="3"/>
        <charset val="128"/>
      </rPr>
      <t>条</t>
    </r>
    <r>
      <rPr>
        <sz val="11"/>
        <color theme="1"/>
        <rFont val="Calibri"/>
        <family val="2"/>
        <scheme val="minor"/>
      </rPr>
      <t xml:space="preserve"> </t>
    </r>
    <r>
      <rPr>
        <sz val="9"/>
        <color theme="1"/>
        <rFont val="ＭＳ ゴシック"/>
        <family val="3"/>
        <charset val="128"/>
      </rPr>
      <t>本ツールの権利</t>
    </r>
  </si>
  <si>
    <r>
      <t>1.</t>
    </r>
    <r>
      <rPr>
        <sz val="9"/>
        <color theme="1"/>
        <rFont val="ＭＳ ゴシック"/>
        <family val="3"/>
        <charset val="128"/>
      </rPr>
      <t>本ツールに関する著作権</t>
    </r>
    <r>
      <rPr>
        <sz val="11"/>
        <color theme="1"/>
        <rFont val="Calibri"/>
        <family val="2"/>
        <scheme val="minor"/>
      </rPr>
      <t>(</t>
    </r>
    <r>
      <rPr>
        <sz val="9"/>
        <color theme="1"/>
        <rFont val="ＭＳ ゴシック"/>
        <family val="3"/>
        <charset val="128"/>
      </rPr>
      <t>著作権法第</t>
    </r>
    <r>
      <rPr>
        <sz val="11"/>
        <color theme="1"/>
        <rFont val="Calibri"/>
        <family val="2"/>
        <scheme val="minor"/>
      </rPr>
      <t>27</t>
    </r>
    <r>
      <rPr>
        <sz val="9"/>
        <color theme="1"/>
        <rFont val="ＭＳ ゴシック"/>
        <family val="3"/>
        <charset val="128"/>
      </rPr>
      <t>条及び第</t>
    </r>
    <r>
      <rPr>
        <sz val="11"/>
        <color theme="1"/>
        <rFont val="Calibri"/>
        <family val="2"/>
        <scheme val="minor"/>
      </rPr>
      <t>28</t>
    </r>
    <r>
      <rPr>
        <sz val="9"/>
        <color theme="1"/>
        <rFont val="ＭＳ ゴシック"/>
        <family val="3"/>
        <charset val="128"/>
      </rPr>
      <t>条の権利を含む</t>
    </r>
    <r>
      <rPr>
        <sz val="11"/>
        <color theme="1"/>
        <rFont val="Calibri"/>
        <family val="2"/>
        <scheme val="minor"/>
      </rPr>
      <t>)</t>
    </r>
    <r>
      <rPr>
        <sz val="9"/>
        <color theme="1"/>
        <rFont val="ＭＳ ゴシック"/>
        <family val="3"/>
        <charset val="128"/>
      </rPr>
      <t>及びその他一切の知的財産権は弊社に帰属します。</t>
    </r>
  </si>
  <si>
    <r>
      <rPr>
        <sz val="9"/>
        <color theme="1"/>
        <rFont val="ＭＳ ゴシック"/>
        <family val="3"/>
        <charset val="128"/>
      </rPr>
      <t>第</t>
    </r>
    <r>
      <rPr>
        <sz val="11"/>
        <color theme="1"/>
        <rFont val="Calibri"/>
        <family val="2"/>
        <scheme val="minor"/>
      </rPr>
      <t>5</t>
    </r>
    <r>
      <rPr>
        <sz val="9"/>
        <color theme="1"/>
        <rFont val="ＭＳ ゴシック"/>
        <family val="3"/>
        <charset val="128"/>
      </rPr>
      <t>条</t>
    </r>
    <r>
      <rPr>
        <sz val="11"/>
        <color theme="1"/>
        <rFont val="Calibri"/>
        <family val="2"/>
        <scheme val="minor"/>
      </rPr>
      <t xml:space="preserve"> </t>
    </r>
    <r>
      <rPr>
        <sz val="9"/>
        <color theme="1"/>
        <rFont val="ＭＳ ゴシック"/>
        <family val="3"/>
        <charset val="128"/>
      </rPr>
      <t>秘密保持</t>
    </r>
  </si>
  <si>
    <r>
      <rPr>
        <sz val="9"/>
        <color theme="1"/>
        <rFont val="ＭＳ ゴシック"/>
        <family val="3"/>
        <charset val="128"/>
      </rPr>
      <t>第</t>
    </r>
    <r>
      <rPr>
        <sz val="11"/>
        <color theme="1"/>
        <rFont val="Calibri"/>
        <family val="2"/>
        <scheme val="minor"/>
      </rPr>
      <t>6</t>
    </r>
    <r>
      <rPr>
        <sz val="9"/>
        <color theme="1"/>
        <rFont val="ＭＳ ゴシック"/>
        <family val="3"/>
        <charset val="128"/>
      </rPr>
      <t>条</t>
    </r>
    <r>
      <rPr>
        <sz val="11"/>
        <color theme="1"/>
        <rFont val="Calibri"/>
        <family val="2"/>
        <scheme val="minor"/>
      </rPr>
      <t xml:space="preserve"> </t>
    </r>
    <r>
      <rPr>
        <sz val="9"/>
        <color theme="1"/>
        <rFont val="ＭＳ ゴシック"/>
        <family val="3"/>
        <charset val="128"/>
      </rPr>
      <t>免責</t>
    </r>
  </si>
  <si>
    <r>
      <rPr>
        <sz val="9"/>
        <color theme="1"/>
        <rFont val="ＭＳ ゴシック"/>
        <family val="3"/>
        <charset val="128"/>
      </rPr>
      <t>第</t>
    </r>
    <r>
      <rPr>
        <sz val="11"/>
        <color theme="1"/>
        <rFont val="Calibri"/>
        <family val="2"/>
        <scheme val="minor"/>
      </rPr>
      <t>7</t>
    </r>
    <r>
      <rPr>
        <sz val="9"/>
        <color theme="1"/>
        <rFont val="ＭＳ ゴシック"/>
        <family val="3"/>
        <charset val="128"/>
      </rPr>
      <t>条</t>
    </r>
    <r>
      <rPr>
        <sz val="11"/>
        <color theme="1"/>
        <rFont val="Calibri"/>
        <family val="2"/>
        <scheme val="minor"/>
      </rPr>
      <t xml:space="preserve">. </t>
    </r>
    <r>
      <rPr>
        <sz val="9"/>
        <color theme="1"/>
        <rFont val="ＭＳ ゴシック"/>
        <family val="3"/>
        <charset val="128"/>
      </rPr>
      <t>輸出規制</t>
    </r>
  </si>
  <si>
    <r>
      <rPr>
        <sz val="9"/>
        <color theme="1"/>
        <rFont val="ＭＳ ゴシック"/>
        <family val="3"/>
        <charset val="128"/>
      </rPr>
      <t>第</t>
    </r>
    <r>
      <rPr>
        <sz val="11"/>
        <color theme="1"/>
        <rFont val="Calibri"/>
        <family val="2"/>
        <scheme val="minor"/>
      </rPr>
      <t>8</t>
    </r>
    <r>
      <rPr>
        <sz val="9"/>
        <color theme="1"/>
        <rFont val="ＭＳ ゴシック"/>
        <family val="3"/>
        <charset val="128"/>
      </rPr>
      <t>条</t>
    </r>
    <r>
      <rPr>
        <sz val="11"/>
        <color theme="1"/>
        <rFont val="Calibri"/>
        <family val="2"/>
        <scheme val="minor"/>
      </rPr>
      <t xml:space="preserve">. </t>
    </r>
    <r>
      <rPr>
        <sz val="9"/>
        <color theme="1"/>
        <rFont val="ＭＳ ゴシック"/>
        <family val="3"/>
        <charset val="128"/>
      </rPr>
      <t>その他</t>
    </r>
  </si>
  <si>
    <t>Note</t>
    <phoneticPr fontId="8"/>
  </si>
  <si>
    <t>* By using this file, you should agree to the "License Agreement".</t>
    <phoneticPr fontId="8"/>
  </si>
  <si>
    <t>* The calculation formulas in this calculation sheet are theoretical formulas only, and are not considered for deviations, variations or temparaure characteristic from actual products.</t>
    <phoneticPr fontId="8"/>
  </si>
  <si>
    <t>* Please read the product datasheet carefully for detailed explanation.</t>
    <phoneticPr fontId="8"/>
  </si>
  <si>
    <t>How to use</t>
    <phoneticPr fontId="8"/>
  </si>
  <si>
    <t>(step 1)</t>
    <phoneticPr fontId="8"/>
  </si>
  <si>
    <t>この計算シートはデータシートに記載されている回路理論式を計算します。</t>
    <rPh sb="22" eb="24">
      <t>カイロ</t>
    </rPh>
    <phoneticPr fontId="8"/>
  </si>
  <si>
    <t>実際の評価ボードの特性や推奨定数は、IC内、基板の寄生成分や部品誤差などによって、理論式の計算結果と異なる場合があります。</t>
    <rPh sb="12" eb="14">
      <t>スイショウ</t>
    </rPh>
    <rPh sb="14" eb="16">
      <t>テイスウ</t>
    </rPh>
    <rPh sb="20" eb="21">
      <t>ナイ</t>
    </rPh>
    <rPh sb="22" eb="24">
      <t>キバン</t>
    </rPh>
    <rPh sb="25" eb="27">
      <t>キセイ</t>
    </rPh>
    <rPh sb="27" eb="29">
      <t>セイブン</t>
    </rPh>
    <phoneticPr fontId="8"/>
  </si>
  <si>
    <t>This calculation sheet calculates the circuit theoretical formula described in the datasheet.</t>
    <phoneticPr fontId="8"/>
  </si>
  <si>
    <t>Actual evaluation board characteristics and recommendation value may not match the results of the theoretical formula due to part and IC circuit errors and PCB parastic (accuracy, parasitics, etc.).</t>
    <phoneticPr fontId="8"/>
  </si>
  <si>
    <t>[ 1. Calculation sheet ]</t>
    <phoneticPr fontId="8"/>
  </si>
  <si>
    <t>( "internal typ value" is an internal parameter of the product, and the cell initial value is set to the typical value.</t>
    <phoneticPr fontId="8"/>
  </si>
  <si>
    <t>[ 2. Caluclation summery ]</t>
    <phoneticPr fontId="8"/>
  </si>
  <si>
    <t>(step 2)</t>
    <phoneticPr fontId="8"/>
  </si>
  <si>
    <t>(Before deciding the parts of your prototype board, it is highly recommended to check the characteristics on an actual evaluation board. )</t>
    <phoneticPr fontId="8"/>
  </si>
  <si>
    <t>If you need to improve the characteristics, adjust the external part values and conditions to get closer to your target.</t>
    <phoneticPr fontId="8"/>
  </si>
  <si>
    <r>
      <t>When selecting the value of the output capacitor C</t>
    </r>
    <r>
      <rPr>
        <vertAlign val="subscript"/>
        <sz val="9"/>
        <color theme="1"/>
        <rFont val="Arial"/>
        <family val="2"/>
      </rPr>
      <t>OUT</t>
    </r>
    <r>
      <rPr>
        <sz val="9"/>
        <color theme="1"/>
        <rFont val="Arial"/>
        <family val="2"/>
      </rPr>
      <t>, please note that the value of capacitor C</t>
    </r>
    <r>
      <rPr>
        <vertAlign val="subscript"/>
        <sz val="9"/>
        <color theme="1"/>
        <rFont val="Arial"/>
        <family val="2"/>
      </rPr>
      <t>LOAD</t>
    </r>
    <r>
      <rPr>
        <sz val="9"/>
        <color theme="1"/>
        <rFont val="Arial"/>
        <family val="2"/>
      </rPr>
      <t xml:space="preserve"> will add up to the value of C</t>
    </r>
    <r>
      <rPr>
        <vertAlign val="subscript"/>
        <sz val="9"/>
        <color theme="1"/>
        <rFont val="Arial"/>
        <family val="2"/>
      </rPr>
      <t>OUT</t>
    </r>
    <r>
      <rPr>
        <sz val="9"/>
        <color theme="1"/>
        <rFont val="Arial"/>
        <family val="2"/>
      </rPr>
      <t xml:space="preserve"> to be connected to V</t>
    </r>
    <r>
      <rPr>
        <vertAlign val="subscript"/>
        <sz val="9"/>
        <color theme="1"/>
        <rFont val="Arial"/>
        <family val="2"/>
      </rPr>
      <t>OUT.</t>
    </r>
  </si>
  <si>
    <t>001</t>
  </si>
  <si>
    <t>New Release</t>
  </si>
  <si>
    <r>
      <t xml:space="preserve">kHz </t>
    </r>
    <r>
      <rPr>
        <vertAlign val="superscript"/>
        <sz val="9"/>
        <color theme="1"/>
        <rFont val="Arial"/>
        <family val="2"/>
      </rPr>
      <t>(*1)</t>
    </r>
  </si>
  <si>
    <t>Design Parameters</t>
    <phoneticPr fontId="1"/>
  </si>
  <si>
    <t>Symbols</t>
    <phoneticPr fontId="1"/>
  </si>
  <si>
    <t>Values</t>
    <phoneticPr fontId="1"/>
  </si>
  <si>
    <t>Unit</t>
    <phoneticPr fontId="1"/>
  </si>
  <si>
    <t>Design constants</t>
    <phoneticPr fontId="1"/>
  </si>
  <si>
    <t>Output Voltage designed value</t>
    <phoneticPr fontId="1"/>
  </si>
  <si>
    <t>Feedback resistors</t>
    <phoneticPr fontId="1"/>
  </si>
  <si>
    <t>V</t>
    <phoneticPr fontId="1"/>
  </si>
  <si>
    <t>LC filter L inductance</t>
    <phoneticPr fontId="1"/>
  </si>
  <si>
    <r>
      <t>L (L</t>
    </r>
    <r>
      <rPr>
        <vertAlign val="subscript"/>
        <sz val="9"/>
        <color theme="1"/>
        <rFont val="Arial"/>
        <family val="2"/>
      </rPr>
      <t>1</t>
    </r>
    <r>
      <rPr>
        <sz val="9"/>
        <color theme="1"/>
        <rFont val="Arial"/>
        <family val="2"/>
      </rPr>
      <t>)</t>
    </r>
    <phoneticPr fontId="1"/>
  </si>
  <si>
    <t>LC filter L saturation current required</t>
    <phoneticPr fontId="1"/>
  </si>
  <si>
    <t>LC filter C capacitance</t>
    <phoneticPr fontId="1"/>
  </si>
  <si>
    <t>Load capacitance connected to VOUT</t>
    <phoneticPr fontId="1"/>
  </si>
  <si>
    <r>
      <t>&lt; C</t>
    </r>
    <r>
      <rPr>
        <vertAlign val="subscript"/>
        <sz val="9"/>
        <color theme="1"/>
        <rFont val="Arial"/>
        <family val="2"/>
      </rPr>
      <t xml:space="preserve">LOAD(max) = </t>
    </r>
    <phoneticPr fontId="1"/>
  </si>
  <si>
    <t>Switching Frequency</t>
    <phoneticPr fontId="1"/>
  </si>
  <si>
    <t>Output ripple voltage:</t>
    <phoneticPr fontId="1"/>
  </si>
  <si>
    <t>Inductor ripple current maximum value at start-up:</t>
    <phoneticPr fontId="1"/>
  </si>
  <si>
    <r>
      <t>In order to estimate C</t>
    </r>
    <r>
      <rPr>
        <vertAlign val="subscript"/>
        <sz val="9"/>
        <color theme="1"/>
        <rFont val="Arial"/>
        <family val="2"/>
      </rPr>
      <t>LOAD</t>
    </r>
    <r>
      <rPr>
        <sz val="9"/>
        <color theme="1"/>
        <rFont val="Arial"/>
        <family val="2"/>
      </rPr>
      <t xml:space="preserve"> (max), maximum value of inductor ripple current has to be taken into account.</t>
    </r>
    <phoneticPr fontId="1"/>
  </si>
  <si>
    <r>
      <t>Note) minimum value for F</t>
    </r>
    <r>
      <rPr>
        <vertAlign val="subscript"/>
        <sz val="9"/>
        <color theme="1"/>
        <rFont val="Arial"/>
        <family val="2"/>
      </rPr>
      <t>OSC</t>
    </r>
    <r>
      <rPr>
        <sz val="9"/>
        <color theme="1"/>
        <rFont val="Arial"/>
        <family val="2"/>
      </rPr>
      <t xml:space="preserve"> is used.</t>
    </r>
    <phoneticPr fontId="1"/>
  </si>
  <si>
    <t>µF</t>
    <phoneticPr fontId="1"/>
  </si>
  <si>
    <t>pF</t>
    <phoneticPr fontId="1"/>
  </si>
  <si>
    <r>
      <t>(*1) Input the target crossover frequency f</t>
    </r>
    <r>
      <rPr>
        <vertAlign val="subscript"/>
        <sz val="9"/>
        <color theme="1"/>
        <rFont val="Arial"/>
        <family val="2"/>
      </rPr>
      <t>CRS</t>
    </r>
    <r>
      <rPr>
        <sz val="9"/>
        <color theme="1"/>
        <rFont val="Arial"/>
        <family val="2"/>
      </rPr>
      <t>. Recommended value is 1/10 to 1/50 of f</t>
    </r>
    <r>
      <rPr>
        <vertAlign val="subscript"/>
        <sz val="9"/>
        <color theme="1"/>
        <rFont val="Arial"/>
        <family val="2"/>
      </rPr>
      <t>OSC</t>
    </r>
    <r>
      <rPr>
        <sz val="9"/>
        <color theme="1"/>
        <rFont val="Arial"/>
        <family val="2"/>
      </rPr>
      <t>.</t>
    </r>
    <phoneticPr fontId="1"/>
  </si>
  <si>
    <t>Design parameters</t>
    <phoneticPr fontId="1"/>
  </si>
  <si>
    <t>Target vaule of crossover frequency</t>
    <phoneticPr fontId="1"/>
  </si>
  <si>
    <r>
      <t>f</t>
    </r>
    <r>
      <rPr>
        <vertAlign val="subscript"/>
        <sz val="9"/>
        <color theme="1"/>
        <rFont val="Arial"/>
        <family val="2"/>
      </rPr>
      <t xml:space="preserve">CRS </t>
    </r>
    <r>
      <rPr>
        <sz val="9"/>
        <color theme="1"/>
        <rFont val="Arial"/>
        <family val="2"/>
      </rPr>
      <t>(target)</t>
    </r>
    <phoneticPr fontId="1"/>
  </si>
  <si>
    <t>Target vaule of zero frequency</t>
    <phoneticPr fontId="1"/>
  </si>
  <si>
    <r>
      <t>f</t>
    </r>
    <r>
      <rPr>
        <vertAlign val="subscript"/>
        <sz val="9"/>
        <color theme="1"/>
        <rFont val="Arial"/>
        <family val="2"/>
      </rPr>
      <t xml:space="preserve">Z </t>
    </r>
    <r>
      <rPr>
        <sz val="9"/>
        <color theme="1"/>
        <rFont val="Arial"/>
        <family val="2"/>
      </rPr>
      <t>(target)</t>
    </r>
    <phoneticPr fontId="1"/>
  </si>
  <si>
    <r>
      <t xml:space="preserve">kHz </t>
    </r>
    <r>
      <rPr>
        <vertAlign val="superscript"/>
        <sz val="9"/>
        <color theme="1"/>
        <rFont val="Arial"/>
        <family val="2"/>
      </rPr>
      <t>(*2)</t>
    </r>
  </si>
  <si>
    <r>
      <t>Internal parameters listed in the table below are refered to calculate R</t>
    </r>
    <r>
      <rPr>
        <vertAlign val="subscript"/>
        <sz val="9"/>
        <color theme="1"/>
        <rFont val="Arial"/>
        <family val="2"/>
      </rPr>
      <t>CMP</t>
    </r>
    <r>
      <rPr>
        <sz val="9"/>
        <color theme="1"/>
        <rFont val="Arial"/>
        <family val="2"/>
      </rPr>
      <t xml:space="preserve"> and C</t>
    </r>
    <r>
      <rPr>
        <vertAlign val="subscript"/>
        <sz val="9"/>
        <color theme="1"/>
        <rFont val="Arial"/>
        <family val="2"/>
      </rPr>
      <t>CMP</t>
    </r>
    <r>
      <rPr>
        <sz val="9"/>
        <color theme="1"/>
        <rFont val="Arial"/>
        <family val="2"/>
      </rPr>
      <t>.</t>
    </r>
    <phoneticPr fontId="1"/>
  </si>
  <si>
    <t>Internal parameters</t>
    <phoneticPr fontId="1"/>
  </si>
  <si>
    <t>Units</t>
    <phoneticPr fontId="1"/>
  </si>
  <si>
    <t>Current sense gain</t>
    <phoneticPr fontId="1"/>
  </si>
  <si>
    <r>
      <t>G</t>
    </r>
    <r>
      <rPr>
        <vertAlign val="subscript"/>
        <sz val="9"/>
        <color theme="1"/>
        <rFont val="Arial"/>
        <family val="2"/>
      </rPr>
      <t>MP (typ)</t>
    </r>
    <phoneticPr fontId="1"/>
  </si>
  <si>
    <t>Error amplifier trans conductance</t>
    <phoneticPr fontId="1"/>
  </si>
  <si>
    <r>
      <t>G</t>
    </r>
    <r>
      <rPr>
        <vertAlign val="subscript"/>
        <sz val="9"/>
        <color theme="1"/>
        <rFont val="Arial"/>
        <family val="2"/>
      </rPr>
      <t>MA (typ)</t>
    </r>
    <phoneticPr fontId="1"/>
  </si>
  <si>
    <t>%error</t>
    <phoneticPr fontId="1"/>
  </si>
  <si>
    <r>
      <t>f</t>
    </r>
    <r>
      <rPr>
        <vertAlign val="subscript"/>
        <sz val="9"/>
        <color theme="1"/>
        <rFont val="Arial"/>
        <family val="2"/>
      </rPr>
      <t>CRS</t>
    </r>
    <phoneticPr fontId="1"/>
  </si>
  <si>
    <t>kHz</t>
    <phoneticPr fontId="1"/>
  </si>
  <si>
    <r>
      <t>(note) f</t>
    </r>
    <r>
      <rPr>
        <vertAlign val="subscript"/>
        <sz val="9"/>
        <color theme="1"/>
        <rFont val="Arial"/>
        <family val="2"/>
      </rPr>
      <t>CRS</t>
    </r>
    <r>
      <rPr>
        <sz val="9"/>
        <color theme="1"/>
        <rFont val="Arial"/>
        <family val="2"/>
      </rPr>
      <t xml:space="preserve"> is highligted when absolute value of % error against the target excess 5%.</t>
    </r>
    <phoneticPr fontId="1"/>
  </si>
  <si>
    <t>pF</t>
    <phoneticPr fontId="1"/>
  </si>
  <si>
    <r>
      <t>(note) f</t>
    </r>
    <r>
      <rPr>
        <vertAlign val="subscript"/>
        <sz val="9"/>
        <color theme="1"/>
        <rFont val="Arial"/>
        <family val="2"/>
      </rPr>
      <t>Z</t>
    </r>
    <r>
      <rPr>
        <sz val="9"/>
        <color theme="1"/>
        <rFont val="Arial"/>
        <family val="2"/>
      </rPr>
      <t xml:space="preserve"> is highligted when absolute value of % error against the target excess 5%.</t>
    </r>
    <phoneticPr fontId="1"/>
  </si>
  <si>
    <t>=</t>
    <phoneticPr fontId="1"/>
  </si>
  <si>
    <t>Output Voltage design target</t>
    <phoneticPr fontId="1"/>
  </si>
  <si>
    <r>
      <t>V</t>
    </r>
    <r>
      <rPr>
        <vertAlign val="subscript"/>
        <sz val="9"/>
        <color theme="1"/>
        <rFont val="Arial"/>
        <family val="2"/>
      </rPr>
      <t>OUT</t>
    </r>
    <r>
      <rPr>
        <sz val="9"/>
        <color theme="1"/>
        <rFont val="Arial"/>
        <family val="2"/>
      </rPr>
      <t xml:space="preserve"> (target)</t>
    </r>
    <phoneticPr fontId="1"/>
  </si>
  <si>
    <t>Feedback voltage</t>
    <phoneticPr fontId="1"/>
  </si>
  <si>
    <r>
      <t>V</t>
    </r>
    <r>
      <rPr>
        <vertAlign val="subscript"/>
        <sz val="9"/>
        <color theme="1"/>
        <rFont val="Arial"/>
        <family val="2"/>
      </rPr>
      <t>FB</t>
    </r>
    <r>
      <rPr>
        <sz val="9"/>
        <color theme="1"/>
        <rFont val="Arial"/>
        <family val="2"/>
      </rPr>
      <t xml:space="preserve"> (typ)</t>
    </r>
    <phoneticPr fontId="1"/>
  </si>
  <si>
    <t>(1) Peripheral component parameters</t>
    <phoneticPr fontId="1"/>
  </si>
  <si>
    <t>Component Parameters</t>
    <phoneticPr fontId="1"/>
  </si>
  <si>
    <t>Value</t>
    <phoneticPr fontId="1"/>
  </si>
  <si>
    <t>Judge</t>
    <phoneticPr fontId="1"/>
  </si>
  <si>
    <t>Conditions</t>
    <phoneticPr fontId="1"/>
  </si>
  <si>
    <t>Item</t>
    <phoneticPr fontId="1"/>
  </si>
  <si>
    <t>Input Voltage</t>
    <phoneticPr fontId="1"/>
  </si>
  <si>
    <t xml:space="preserve">Output Voltage </t>
    <phoneticPr fontId="1"/>
  </si>
  <si>
    <t>Maximum output current</t>
    <phoneticPr fontId="1"/>
  </si>
  <si>
    <r>
      <t>I</t>
    </r>
    <r>
      <rPr>
        <vertAlign val="subscript"/>
        <sz val="9"/>
        <color theme="1"/>
        <rFont val="Arial"/>
        <family val="2"/>
      </rPr>
      <t>OUTMAX</t>
    </r>
    <phoneticPr fontId="1"/>
  </si>
  <si>
    <t>A</t>
    <phoneticPr fontId="1"/>
  </si>
  <si>
    <t>Load capacitance connected to VOUT</t>
  </si>
  <si>
    <r>
      <t>C</t>
    </r>
    <r>
      <rPr>
        <vertAlign val="subscript"/>
        <sz val="9"/>
        <color theme="1"/>
        <rFont val="Arial"/>
        <family val="2"/>
      </rPr>
      <t>LOAD</t>
    </r>
    <r>
      <rPr>
        <sz val="9"/>
        <color theme="1"/>
        <rFont val="Arial"/>
        <family val="2"/>
      </rPr>
      <t xml:space="preserve"> </t>
    </r>
    <r>
      <rPr>
        <sz val="9"/>
        <color theme="1"/>
        <rFont val="ＭＳ Ｐゴシック"/>
        <family val="3"/>
        <charset val="128"/>
      </rPr>
      <t>≦</t>
    </r>
    <r>
      <rPr>
        <sz val="9"/>
        <color theme="1"/>
        <rFont val="Arial"/>
        <family val="2"/>
      </rPr>
      <t>C</t>
    </r>
    <r>
      <rPr>
        <vertAlign val="subscript"/>
        <sz val="9"/>
        <color theme="1"/>
        <rFont val="Arial"/>
        <family val="2"/>
      </rPr>
      <t>LOAD</t>
    </r>
    <r>
      <rPr>
        <sz val="9"/>
        <color theme="1"/>
        <rFont val="Arial"/>
        <family val="2"/>
      </rPr>
      <t xml:space="preserve">(max) = </t>
    </r>
    <phoneticPr fontId="1"/>
  </si>
  <si>
    <t>Crossover frequency design target</t>
    <phoneticPr fontId="1"/>
  </si>
  <si>
    <t>Zero frequency design target</t>
    <phoneticPr fontId="1"/>
  </si>
  <si>
    <t>(3) Calculation results</t>
    <phoneticPr fontId="1"/>
  </si>
  <si>
    <t>Charging current to output capacitors</t>
    <phoneticPr fontId="1"/>
  </si>
  <si>
    <r>
      <t>I</t>
    </r>
    <r>
      <rPr>
        <vertAlign val="subscript"/>
        <sz val="9"/>
        <color theme="1"/>
        <rFont val="Arial"/>
        <family val="2"/>
      </rPr>
      <t>CAP</t>
    </r>
    <phoneticPr fontId="1"/>
  </si>
  <si>
    <t>Inductor ripple current (max) of start-up</t>
    <phoneticPr fontId="1"/>
  </si>
  <si>
    <t xml:space="preserve">Phase </t>
    <phoneticPr fontId="1"/>
  </si>
  <si>
    <t>Compensation</t>
    <phoneticPr fontId="1"/>
  </si>
  <si>
    <t>Crossover frequency</t>
    <phoneticPr fontId="1"/>
  </si>
  <si>
    <r>
      <rPr>
        <sz val="9"/>
        <color theme="1"/>
        <rFont val="ＭＳ Ｐゴシック"/>
        <family val="3"/>
        <charset val="128"/>
      </rPr>
      <t>ｆ</t>
    </r>
    <r>
      <rPr>
        <vertAlign val="subscript"/>
        <sz val="9"/>
        <color theme="1"/>
        <rFont val="Arial"/>
        <family val="2"/>
      </rPr>
      <t>CRS</t>
    </r>
    <phoneticPr fontId="1"/>
  </si>
  <si>
    <t>Zero frequency</t>
    <phoneticPr fontId="1"/>
  </si>
  <si>
    <r>
      <rPr>
        <sz val="9"/>
        <color theme="1"/>
        <rFont val="ＭＳ Ｐゴシック"/>
        <family val="3"/>
        <charset val="128"/>
      </rPr>
      <t>ｆ</t>
    </r>
    <r>
      <rPr>
        <vertAlign val="subscript"/>
        <sz val="9"/>
        <color theme="1"/>
        <rFont val="Arial"/>
        <family val="2"/>
      </rPr>
      <t>Z</t>
    </r>
    <phoneticPr fontId="1"/>
  </si>
  <si>
    <r>
      <t>f</t>
    </r>
    <r>
      <rPr>
        <vertAlign val="subscript"/>
        <sz val="9"/>
        <color theme="1"/>
        <rFont val="Arial"/>
        <family val="2"/>
      </rPr>
      <t>z</t>
    </r>
    <phoneticPr fontId="1"/>
  </si>
  <si>
    <r>
      <t>ΔI</t>
    </r>
    <r>
      <rPr>
        <vertAlign val="subscript"/>
        <sz val="9"/>
        <color theme="1"/>
        <rFont val="Arial"/>
        <family val="2"/>
      </rPr>
      <t>L</t>
    </r>
    <phoneticPr fontId="1"/>
  </si>
  <si>
    <r>
      <t>ΔV</t>
    </r>
    <r>
      <rPr>
        <vertAlign val="subscript"/>
        <sz val="9"/>
        <color theme="1"/>
        <rFont val="Arial"/>
        <family val="2"/>
      </rPr>
      <t>RPL</t>
    </r>
    <phoneticPr fontId="1"/>
  </si>
  <si>
    <t>BD9G500EFJ-LA Calculation Sheet</t>
  </si>
  <si>
    <t>BD9G500EFJ-LA</t>
  </si>
  <si>
    <t>11.Jun.2020 Rev.001</t>
  </si>
  <si>
    <t>p.17, Table 2. Recommended Component Values.</t>
  </si>
  <si>
    <t>Input Voltage designed value</t>
  </si>
  <si>
    <t>7V to 76V</t>
  </si>
  <si>
    <r>
      <t>1.0V to 0.97xV</t>
    </r>
    <r>
      <rPr>
        <vertAlign val="subscript"/>
        <sz val="9"/>
        <color theme="1"/>
        <rFont val="Arial"/>
        <family val="2"/>
      </rPr>
      <t>IN</t>
    </r>
    <r>
      <rPr>
        <sz val="9"/>
        <color theme="1"/>
        <rFont val="Arial"/>
        <family val="2"/>
      </rPr>
      <t>V</t>
    </r>
  </si>
  <si>
    <r>
      <t>R</t>
    </r>
    <r>
      <rPr>
        <vertAlign val="subscript"/>
        <sz val="9"/>
        <color theme="1"/>
        <rFont val="Arial"/>
        <family val="2"/>
      </rPr>
      <t>6</t>
    </r>
  </si>
  <si>
    <r>
      <t>R</t>
    </r>
    <r>
      <rPr>
        <vertAlign val="subscript"/>
        <sz val="9"/>
        <color theme="1"/>
        <rFont val="Arial"/>
        <family val="2"/>
      </rPr>
      <t>2</t>
    </r>
  </si>
  <si>
    <r>
      <t>R</t>
    </r>
    <r>
      <rPr>
        <vertAlign val="subscript"/>
        <sz val="9"/>
        <color theme="1"/>
        <rFont val="Arial"/>
        <family val="2"/>
      </rPr>
      <t>3</t>
    </r>
  </si>
  <si>
    <t>Ω (*)</t>
  </si>
  <si>
    <t>kΩ (*)</t>
  </si>
  <si>
    <t>kHz</t>
  </si>
  <si>
    <r>
      <t>f</t>
    </r>
    <r>
      <rPr>
        <vertAlign val="subscript"/>
        <sz val="9"/>
        <color theme="1"/>
        <rFont val="Arial"/>
        <family val="2"/>
      </rPr>
      <t>OSC</t>
    </r>
    <r>
      <rPr>
        <sz val="9"/>
        <color theme="1"/>
        <rFont val="Arial"/>
        <family val="2"/>
      </rPr>
      <t xml:space="preserve"> (typ)</t>
    </r>
  </si>
  <si>
    <r>
      <t>f</t>
    </r>
    <r>
      <rPr>
        <vertAlign val="subscript"/>
        <sz val="9"/>
        <color theme="1"/>
        <rFont val="Arial"/>
        <family val="2"/>
      </rPr>
      <t>OSC</t>
    </r>
    <r>
      <rPr>
        <sz val="9"/>
        <color theme="1"/>
        <rFont val="Arial"/>
        <family val="2"/>
      </rPr>
      <t xml:space="preserve"> (min)</t>
    </r>
  </si>
  <si>
    <r>
      <t>t</t>
    </r>
    <r>
      <rPr>
        <vertAlign val="subscript"/>
        <sz val="9"/>
        <color theme="1"/>
        <rFont val="Arial"/>
        <family val="2"/>
      </rPr>
      <t>SS</t>
    </r>
    <r>
      <rPr>
        <sz val="9"/>
        <color theme="1"/>
        <rFont val="Arial"/>
        <family val="2"/>
      </rPr>
      <t xml:space="preserve"> (min)</t>
    </r>
  </si>
  <si>
    <r>
      <t>I</t>
    </r>
    <r>
      <rPr>
        <vertAlign val="subscript"/>
        <sz val="9"/>
        <color theme="1"/>
        <rFont val="Arial"/>
        <family val="2"/>
      </rPr>
      <t>LIMIT</t>
    </r>
    <r>
      <rPr>
        <sz val="9"/>
        <color theme="1"/>
        <rFont val="Arial"/>
        <family val="2"/>
      </rPr>
      <t xml:space="preserve"> (min)</t>
    </r>
  </si>
  <si>
    <t>Soft Start Time</t>
  </si>
  <si>
    <t>Over Current limit</t>
  </si>
  <si>
    <t>Maximum Output Current</t>
  </si>
  <si>
    <t>33 µH</t>
  </si>
  <si>
    <r>
      <t>C</t>
    </r>
    <r>
      <rPr>
        <vertAlign val="subscript"/>
        <sz val="9"/>
        <color theme="1"/>
        <rFont val="Arial"/>
        <family val="2"/>
      </rPr>
      <t>6</t>
    </r>
  </si>
  <si>
    <r>
      <t>C</t>
    </r>
    <r>
      <rPr>
        <vertAlign val="subscript"/>
        <sz val="9"/>
        <color theme="1"/>
        <rFont val="Arial"/>
        <family val="2"/>
      </rPr>
      <t>7</t>
    </r>
  </si>
  <si>
    <t>mΩ</t>
  </si>
  <si>
    <r>
      <rPr>
        <i/>
        <sz val="11"/>
        <color theme="1"/>
        <rFont val="Arial"/>
        <family val="2"/>
      </rPr>
      <t>(max)</t>
    </r>
    <r>
      <rPr>
        <sz val="11"/>
        <color theme="1"/>
        <rFont val="Arial"/>
        <family val="2"/>
      </rPr>
      <t xml:space="preserve"> =</t>
    </r>
  </si>
  <si>
    <t>LC filter C serial equivalent series resistance</t>
  </si>
  <si>
    <r>
      <t>Here, I</t>
    </r>
    <r>
      <rPr>
        <vertAlign val="subscript"/>
        <sz val="9"/>
        <color theme="1"/>
        <rFont val="Arial"/>
        <family val="2"/>
      </rPr>
      <t>OUTMAX</t>
    </r>
    <r>
      <rPr>
        <sz val="9"/>
        <color theme="1"/>
        <rFont val="Arial"/>
        <family val="2"/>
      </rPr>
      <t xml:space="preserve"> is Maximum Output Current, and I</t>
    </r>
    <r>
      <rPr>
        <vertAlign val="subscript"/>
        <sz val="9"/>
        <color theme="1"/>
        <rFont val="Arial"/>
        <family val="2"/>
      </rPr>
      <t>CAP</t>
    </r>
    <r>
      <rPr>
        <sz val="9"/>
        <color theme="1"/>
        <rFont val="Arial"/>
        <family val="2"/>
      </rPr>
      <t xml:space="preserve"> is charging current to the output capacitors.</t>
    </r>
  </si>
  <si>
    <r>
      <t>(Note) Maximum starting inductor ripple current I</t>
    </r>
    <r>
      <rPr>
        <vertAlign val="subscript"/>
        <sz val="9"/>
        <color theme="1"/>
        <rFont val="Arial"/>
        <family val="2"/>
      </rPr>
      <t>L_START</t>
    </r>
    <r>
      <rPr>
        <sz val="9"/>
        <color theme="1"/>
        <rFont val="Arial"/>
        <family val="2"/>
      </rPr>
      <t xml:space="preserve"> must smaller than over current limit 6.4 A (Min).</t>
    </r>
  </si>
  <si>
    <t>p.26, Output LC Filter.</t>
  </si>
  <si>
    <r>
      <t>Maximum output load capacitance (C</t>
    </r>
    <r>
      <rPr>
        <b/>
        <vertAlign val="subscript"/>
        <sz val="9"/>
        <color theme="1"/>
        <rFont val="Arial"/>
        <family val="2"/>
      </rPr>
      <t>LOAD</t>
    </r>
    <r>
      <rPr>
        <b/>
        <sz val="9"/>
        <color theme="1"/>
        <rFont val="Arial"/>
        <family val="2"/>
      </rPr>
      <t xml:space="preserve"> (max)):</t>
    </r>
  </si>
  <si>
    <t>Switching Frequency</t>
  </si>
  <si>
    <t>p.26, Switching Frequency.</t>
  </si>
  <si>
    <t>RT resistance</t>
  </si>
  <si>
    <t>(min) =</t>
  </si>
  <si>
    <t>kΩ</t>
  </si>
  <si>
    <t>(max) =</t>
  </si>
  <si>
    <t>Switching Frequency Range Using RT Pin</t>
  </si>
  <si>
    <r>
      <t>f</t>
    </r>
    <r>
      <rPr>
        <vertAlign val="subscript"/>
        <sz val="9"/>
        <color theme="1"/>
        <rFont val="Arial"/>
        <family val="2"/>
      </rPr>
      <t>RTOSC</t>
    </r>
    <r>
      <rPr>
        <sz val="9"/>
        <color theme="1"/>
        <rFont val="Arial"/>
        <family val="2"/>
      </rPr>
      <t xml:space="preserve"> (min)</t>
    </r>
  </si>
  <si>
    <r>
      <t>f</t>
    </r>
    <r>
      <rPr>
        <vertAlign val="subscript"/>
        <sz val="9"/>
        <color theme="1"/>
        <rFont val="Arial"/>
        <family val="2"/>
      </rPr>
      <t>RTOSC</t>
    </r>
    <r>
      <rPr>
        <sz val="9"/>
        <color theme="1"/>
        <rFont val="Arial"/>
        <family val="2"/>
      </rPr>
      <t xml:space="preserve"> (max)</t>
    </r>
  </si>
  <si>
    <t>200 kHz (typ); 100 kHz to 650 kHz</t>
  </si>
  <si>
    <r>
      <t>R</t>
    </r>
    <r>
      <rPr>
        <vertAlign val="subscript"/>
        <sz val="9"/>
        <color theme="1"/>
        <rFont val="Arial"/>
        <family val="2"/>
      </rPr>
      <t>RT</t>
    </r>
    <r>
      <rPr>
        <sz val="9"/>
        <color theme="1"/>
        <rFont val="Arial"/>
        <family val="2"/>
      </rPr>
      <t xml:space="preserve"> (R</t>
    </r>
    <r>
      <rPr>
        <vertAlign val="subscript"/>
        <sz val="9"/>
        <color theme="1"/>
        <rFont val="Arial"/>
        <family val="2"/>
      </rPr>
      <t>4</t>
    </r>
    <r>
      <rPr>
        <sz val="9"/>
        <color theme="1"/>
        <rFont val="Arial"/>
        <family val="2"/>
      </rPr>
      <t>)</t>
    </r>
  </si>
  <si>
    <t>OR($E$54&gt;$H$54,$E$96&gt;=$E$62)</t>
  </si>
  <si>
    <t>$E$96&gt;=$E$62</t>
  </si>
  <si>
    <t>up to 5A</t>
  </si>
  <si>
    <t>&gt;5</t>
  </si>
  <si>
    <t>$E$96&lt;$E$62</t>
  </si>
  <si>
    <t>Adjust L, COUT, and/or CLOAD.</t>
  </si>
  <si>
    <t>AND($E$54&lt;=$H$54, $E$96&lt;$E$62)</t>
  </si>
  <si>
    <t>Cload should be less than Cloadmax.</t>
  </si>
  <si>
    <t>&lt;=5</t>
  </si>
  <si>
    <t>IOUTMAX is out of range. (up to 5A only)</t>
  </si>
  <si>
    <t>not bet $E$124 $E$125</t>
  </si>
  <si>
    <t>bet E127 E129</t>
  </si>
  <si>
    <t>RRT (R4) is not valid. fOSC is out of range.</t>
  </si>
  <si>
    <t>not bet $E$127 $E$129</t>
  </si>
  <si>
    <r>
      <t>Also for saturation current of inductor, select the one with larger current than the total of maximum output current and 1/2 of inductor ripple current ΔI</t>
    </r>
    <r>
      <rPr>
        <vertAlign val="subscript"/>
        <sz val="9"/>
        <color theme="1"/>
        <rFont val="Arial"/>
        <family val="2"/>
      </rPr>
      <t>L</t>
    </r>
    <r>
      <rPr>
        <sz val="9"/>
        <color theme="1"/>
        <rFont val="Arial"/>
        <family val="2"/>
      </rPr>
      <t>. Also for saturation current of catch diode.</t>
    </r>
  </si>
  <si>
    <t>p.28, Phase Compensation.</t>
  </si>
  <si>
    <r>
      <t>Phase Compensation Resistor (R</t>
    </r>
    <r>
      <rPr>
        <b/>
        <vertAlign val="subscript"/>
        <sz val="9"/>
        <color theme="1"/>
        <rFont val="Arial"/>
        <family val="2"/>
      </rPr>
      <t>1</t>
    </r>
    <r>
      <rPr>
        <b/>
        <sz val="9"/>
        <color theme="1"/>
        <rFont val="Arial"/>
        <family val="2"/>
      </rPr>
      <t>)</t>
    </r>
  </si>
  <si>
    <r>
      <t xml:space="preserve"> Phase Compensation Capacitor (C</t>
    </r>
    <r>
      <rPr>
        <b/>
        <vertAlign val="subscript"/>
        <sz val="9"/>
        <rFont val="Arial"/>
        <family val="2"/>
      </rPr>
      <t>2</t>
    </r>
    <r>
      <rPr>
        <b/>
        <sz val="9"/>
        <rFont val="Arial"/>
        <family val="2"/>
      </rPr>
      <t>)</t>
    </r>
  </si>
  <si>
    <r>
      <t>Target value of C</t>
    </r>
    <r>
      <rPr>
        <vertAlign val="subscript"/>
        <sz val="9"/>
        <color theme="1"/>
        <rFont val="Arial"/>
        <family val="2"/>
      </rPr>
      <t>2</t>
    </r>
    <r>
      <rPr>
        <sz val="9"/>
        <color theme="1"/>
        <rFont val="Arial"/>
        <family val="2"/>
      </rPr>
      <t xml:space="preserve">  can be calculated from the zero frequency f</t>
    </r>
    <r>
      <rPr>
        <vertAlign val="subscript"/>
        <sz val="9"/>
        <color theme="1"/>
        <rFont val="Arial"/>
        <family val="2"/>
      </rPr>
      <t>Z</t>
    </r>
    <r>
      <rPr>
        <sz val="9"/>
        <color theme="1"/>
        <rFont val="Arial"/>
        <family val="2"/>
      </rPr>
      <t xml:space="preserve"> by the following equation.</t>
    </r>
  </si>
  <si>
    <t>not bet E58/50 E58/10</t>
  </si>
  <si>
    <t>AND(E141&gt;=(E58/50),E141&lt;=(E58/10))</t>
  </si>
  <si>
    <r>
      <t>R</t>
    </r>
    <r>
      <rPr>
        <vertAlign val="subscript"/>
        <sz val="9"/>
        <color theme="1"/>
        <rFont val="Arial"/>
        <family val="2"/>
      </rPr>
      <t>1</t>
    </r>
  </si>
  <si>
    <r>
      <t>C</t>
    </r>
    <r>
      <rPr>
        <vertAlign val="subscript"/>
        <sz val="9"/>
        <color theme="1"/>
        <rFont val="Arial"/>
        <family val="2"/>
      </rPr>
      <t>2</t>
    </r>
  </si>
  <si>
    <t>$E$142&gt;=E$141/9</t>
  </si>
  <si>
    <t>&lt; E141/9</t>
  </si>
  <si>
    <r>
      <t>Fill R</t>
    </r>
    <r>
      <rPr>
        <vertAlign val="subscript"/>
        <sz val="9"/>
        <color theme="1"/>
        <rFont val="Arial"/>
        <family val="2"/>
      </rPr>
      <t>1</t>
    </r>
    <r>
      <rPr>
        <sz val="9"/>
        <color theme="1"/>
        <rFont val="Arial"/>
        <family val="2"/>
      </rPr>
      <t xml:space="preserve"> value based on the calculation result --&gt;</t>
    </r>
  </si>
  <si>
    <r>
      <t>Calculated f</t>
    </r>
    <r>
      <rPr>
        <vertAlign val="subscript"/>
        <sz val="9"/>
        <color theme="1"/>
        <rFont val="Arial"/>
        <family val="2"/>
      </rPr>
      <t>CRS</t>
    </r>
    <r>
      <rPr>
        <sz val="9"/>
        <color theme="1"/>
        <rFont val="Arial"/>
        <family val="2"/>
      </rPr>
      <t xml:space="preserve"> from R</t>
    </r>
    <r>
      <rPr>
        <vertAlign val="subscript"/>
        <sz val="9"/>
        <color theme="1"/>
        <rFont val="Arial"/>
        <family val="2"/>
      </rPr>
      <t>1</t>
    </r>
  </si>
  <si>
    <r>
      <t>Fill C</t>
    </r>
    <r>
      <rPr>
        <vertAlign val="subscript"/>
        <sz val="9"/>
        <color theme="1"/>
        <rFont val="Arial"/>
        <family val="2"/>
      </rPr>
      <t>2</t>
    </r>
    <r>
      <rPr>
        <sz val="9"/>
        <color theme="1"/>
        <rFont val="Arial"/>
        <family val="2"/>
      </rPr>
      <t xml:space="preserve"> value based on the calculation result --&gt;</t>
    </r>
  </si>
  <si>
    <r>
      <t>Calculated f</t>
    </r>
    <r>
      <rPr>
        <vertAlign val="subscript"/>
        <sz val="9"/>
        <color theme="1"/>
        <rFont val="Arial"/>
        <family val="2"/>
      </rPr>
      <t>Z</t>
    </r>
    <r>
      <rPr>
        <sz val="9"/>
        <color theme="1"/>
        <rFont val="Arial"/>
        <family val="2"/>
      </rPr>
      <t xml:space="preserve"> from C</t>
    </r>
    <r>
      <rPr>
        <vertAlign val="subscript"/>
        <sz val="9"/>
        <color theme="1"/>
        <rFont val="Arial"/>
        <family val="2"/>
      </rPr>
      <t>2</t>
    </r>
  </si>
  <si>
    <t>error&gt;5%</t>
  </si>
  <si>
    <t>Ω</t>
  </si>
  <si>
    <t>(E32*E147*E148/1000000)/(2*PI()*E26*SUM(E51:E52)/1000000*2*PI()*N161/1000000000000*E142*1000*9)/1000</t>
  </si>
  <si>
    <t>1/(2*PI()*E154*N161/1000000)</t>
  </si>
  <si>
    <t>C9</t>
  </si>
  <si>
    <t>C3</t>
  </si>
  <si>
    <t>R4</t>
  </si>
  <si>
    <t>D1</t>
  </si>
  <si>
    <t>OR(ABS($P$161)&gt;5%,$N$161&lt;$E$161)</t>
  </si>
  <si>
    <r>
      <t>I</t>
    </r>
    <r>
      <rPr>
        <vertAlign val="subscript"/>
        <sz val="9"/>
        <color theme="1"/>
        <rFont val="Arial"/>
        <family val="2"/>
      </rPr>
      <t>L_START</t>
    </r>
  </si>
  <si>
    <t>Switching Frequency Using RT Pin</t>
  </si>
  <si>
    <r>
      <t>f</t>
    </r>
    <r>
      <rPr>
        <vertAlign val="subscript"/>
        <sz val="9"/>
        <color theme="1"/>
        <rFont val="Arial"/>
        <family val="2"/>
      </rPr>
      <t>RTOSC</t>
    </r>
  </si>
  <si>
    <r>
      <t>Target value of R</t>
    </r>
    <r>
      <rPr>
        <vertAlign val="subscript"/>
        <sz val="9"/>
        <color theme="1"/>
        <rFont val="Arial"/>
        <family val="2"/>
      </rPr>
      <t>1</t>
    </r>
    <r>
      <rPr>
        <sz val="9"/>
        <color theme="1"/>
        <rFont val="Arial"/>
        <family val="2"/>
      </rPr>
      <t xml:space="preserve"> can be calculated from the crossover frequency f</t>
    </r>
    <r>
      <rPr>
        <vertAlign val="subscript"/>
        <sz val="9"/>
        <color theme="1"/>
        <rFont val="Arial"/>
        <family val="2"/>
      </rPr>
      <t>CRS</t>
    </r>
    <r>
      <rPr>
        <sz val="9"/>
        <color theme="1"/>
        <rFont val="Arial"/>
        <family val="2"/>
      </rPr>
      <t xml:space="preserve"> by the following equation.</t>
    </r>
  </si>
  <si>
    <r>
      <t>R</t>
    </r>
    <r>
      <rPr>
        <vertAlign val="subscript"/>
        <sz val="9"/>
        <color theme="1"/>
        <rFont val="Arial"/>
        <family val="2"/>
      </rPr>
      <t xml:space="preserve">1 </t>
    </r>
    <r>
      <rPr>
        <sz val="9"/>
        <color theme="1"/>
        <rFont val="Arial"/>
        <family val="2"/>
      </rPr>
      <t xml:space="preserve">target value </t>
    </r>
  </si>
  <si>
    <r>
      <t>C</t>
    </r>
    <r>
      <rPr>
        <vertAlign val="subscript"/>
        <sz val="9"/>
        <color theme="1"/>
        <rFont val="Arial"/>
        <family val="2"/>
      </rPr>
      <t xml:space="preserve">2 </t>
    </r>
    <r>
      <rPr>
        <sz val="9"/>
        <color theme="1"/>
        <rFont val="Arial"/>
        <family val="2"/>
      </rPr>
      <t>target value</t>
    </r>
  </si>
  <si>
    <r>
      <t>(*2) Input the value of target f</t>
    </r>
    <r>
      <rPr>
        <vertAlign val="subscript"/>
        <sz val="9"/>
        <color theme="1"/>
        <rFont val="Arial"/>
        <family val="2"/>
      </rPr>
      <t>Z</t>
    </r>
    <r>
      <rPr>
        <sz val="9"/>
        <color theme="1"/>
        <rFont val="Arial"/>
        <family val="2"/>
      </rPr>
      <t xml:space="preserve"> (zero point), which is recommended to smaller than f</t>
    </r>
    <r>
      <rPr>
        <vertAlign val="subscript"/>
        <sz val="9"/>
        <color theme="1"/>
        <rFont val="Arial"/>
        <family val="2"/>
      </rPr>
      <t>CRS</t>
    </r>
    <r>
      <rPr>
        <sz val="9"/>
        <color theme="1"/>
        <rFont val="Arial"/>
        <family val="2"/>
      </rPr>
      <t>/9.</t>
    </r>
  </si>
  <si>
    <r>
      <t>I</t>
    </r>
    <r>
      <rPr>
        <vertAlign val="subscript"/>
        <sz val="9"/>
        <color theme="1"/>
        <rFont val="Arial"/>
        <family val="2"/>
      </rPr>
      <t>L_START</t>
    </r>
    <r>
      <rPr>
        <sz val="9"/>
        <color theme="1"/>
        <rFont val="Arial"/>
        <family val="2"/>
      </rPr>
      <t xml:space="preserve"> can be expressed as follows.</t>
    </r>
  </si>
  <si>
    <r>
      <t xml:space="preserve">For stable operation of the DC/DC converter, inserting a zero point </t>
    </r>
    <r>
      <rPr>
        <b/>
        <sz val="9"/>
        <color theme="1"/>
        <rFont val="Arial"/>
        <family val="2"/>
      </rPr>
      <t xml:space="preserve">under 1/9 </t>
    </r>
    <r>
      <rPr>
        <sz val="9"/>
        <color theme="1"/>
        <rFont val="Arial"/>
        <family val="2"/>
      </rPr>
      <t>of zero crossover frequency f</t>
    </r>
    <r>
      <rPr>
        <vertAlign val="subscript"/>
        <sz val="9"/>
        <color theme="1"/>
        <rFont val="Arial"/>
        <family val="2"/>
      </rPr>
      <t>CRS</t>
    </r>
  </si>
  <si>
    <t>cancels the phase delay due to the pole formed by the load often provides favorable characteristics.</t>
  </si>
  <si>
    <t>In order to secure stability of DC/DC converter, confirm there is enough phase margin on actual equipment. Under the worst condition, it is recommended to secure phase margin more than 45º.</t>
  </si>
  <si>
    <t>©2021 ROHM Co., LTD.</t>
  </si>
  <si>
    <t>µF (*1)</t>
  </si>
  <si>
    <t>A (*1)</t>
  </si>
  <si>
    <t xml:space="preserve">IL_START is higher than OCPmin. </t>
  </si>
  <si>
    <t>p.28, Output Voltage Set Point.</t>
  </si>
  <si>
    <t>23.Feb.2021</t>
  </si>
  <si>
    <t>特に入力コンデンサ、出力コンデンサの容量値については、温度特性やDCバイアス特性などを考慮して値を選定してください。</t>
    <rPh sb="0" eb="1">
      <t>トク</t>
    </rPh>
    <phoneticPr fontId="1"/>
  </si>
  <si>
    <t>The capacitance values of the input and output capacitors should be selected in consideration of the temperature characteristics and DC bias characteristics.</t>
    <phoneticPr fontId="1"/>
  </si>
  <si>
    <t>Please make sure "Output Voltage designed value" satisfy your criteria of "Output Voltage designed target".</t>
  </si>
  <si>
    <t>002</t>
    <phoneticPr fontId="1"/>
  </si>
  <si>
    <t>27.Aug.2021</t>
    <phoneticPr fontId="1"/>
  </si>
  <si>
    <t xml:space="preserve">この度はロームのCalculation Sheetをダウンロードいただきありがとうございます。本シートではスイッチングレギュレータ製品をお使いいただくにあたって必要となる外付け部品の定数計算をExcelスプレッドシートに集約しております。ご不明点などございましたらロームの営業担当者までご連絡ください。 </t>
  </si>
  <si>
    <t xml:space="preserve">Thank you for downloading ROHM's Calculation Sheet. This sheet is an Excel spreadsheet for calculating the constants of external components required for using switching regulator products. If you have any questions, please contact your ROHM sales representative. </t>
    <phoneticPr fontId="1"/>
  </si>
  <si>
    <t>ご使用にあたって必ず最新のデータシートをロームホームページ下記のURLからダウンロードいただき、内容をよくご確認くださいますようお願いいたします。</t>
    <phoneticPr fontId="8"/>
  </si>
  <si>
    <t>Before using the product, be sure to download the latest datasheet from the following URL on the ROHM website and check the contents carefully.</t>
    <phoneticPr fontId="1"/>
  </si>
  <si>
    <t>Before you start</t>
    <phoneticPr fontId="8"/>
  </si>
  <si>
    <t>REV.001 20210827</t>
    <phoneticPr fontId="8"/>
  </si>
  <si>
    <t>Updated How to use sheet, Added Link to website.</t>
    <phoneticPr fontId="1"/>
  </si>
  <si>
    <t>https://www.rohm.com/products/power-management/switching-regulators/integrated-fet/buck-converters-nonsynchronous/bd9g500efj-la-product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</si>
</sst>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_ "/>
    <numFmt numFmtId="165" formatCode="0.0"/>
    <numFmt numFmtId="166" formatCode="0.000"/>
    <numFmt numFmtId="167" formatCode="&quot;&gt; &quot;0.0000&quot; µF&quot;"/>
    <numFmt numFmtId="168" formatCode="0.00_);[Red]\(0.00\)"/>
    <numFmt numFmtId="169" formatCode="0.00000000_ "/>
    <numFmt numFmtId="170" formatCode="0.00_ "/>
    <numFmt numFmtId="171" formatCode="0.00&quot; [uF]&quot;"/>
    <numFmt numFmtId="172" formatCode="0.000_);[Red]\(0.000\)"/>
  </numFmts>
  <fonts count="29">
    <font>
      <sz val="11"/>
      <color theme="1"/>
      <name val="Calibri"/>
      <family val="2"/>
      <scheme val="minor"/>
    </font>
    <font>
      <sz val="6"/>
      <name val="Calibri"/>
      <family val="3"/>
      <charset val="128"/>
      <scheme val="minor"/>
    </font>
    <font>
      <sz val="9"/>
      <color theme="1"/>
      <name val="Arial"/>
      <family val="2"/>
    </font>
    <font>
      <sz val="9"/>
      <name val="Arial"/>
      <family val="2"/>
    </font>
    <font>
      <b/>
      <sz val="9"/>
      <color theme="1"/>
      <name val="Arial"/>
      <family val="2"/>
    </font>
    <font>
      <vertAlign val="subscript"/>
      <sz val="9"/>
      <color theme="1"/>
      <name val="Arial"/>
      <family val="2"/>
    </font>
    <font>
      <sz val="9"/>
      <color rgb="FFFF0000"/>
      <name val="Arial"/>
      <family val="2"/>
    </font>
    <font>
      <vertAlign val="superscript"/>
      <sz val="9"/>
      <color theme="1"/>
      <name val="Arial"/>
      <family val="2"/>
    </font>
    <font>
      <b/>
      <vertAlign val="subscript"/>
      <sz val="9"/>
      <color theme="1"/>
      <name val="Arial"/>
      <family val="2"/>
    </font>
    <font>
      <sz val="20"/>
      <color theme="1"/>
      <name val="Arial"/>
      <family val="2"/>
    </font>
    <font>
      <b/>
      <sz val="14"/>
      <color theme="1"/>
      <name val="Arial"/>
      <family val="2"/>
    </font>
    <font>
      <sz val="20"/>
      <name val="Arial"/>
      <family val="2"/>
    </font>
    <font>
      <sz val="9"/>
      <name val="ＭＳ ゴシック"/>
      <family val="3"/>
      <charset val="128"/>
    </font>
    <font>
      <sz val="9"/>
      <color theme="1"/>
      <name val="ＭＳ ゴシック"/>
      <family val="3"/>
      <charset val="128"/>
    </font>
    <font>
      <i/>
      <sz val="9"/>
      <color theme="1"/>
      <name val="Arial"/>
      <family val="2"/>
    </font>
    <font>
      <sz val="9"/>
      <color theme="0"/>
      <name val="Arial"/>
      <family val="2"/>
    </font>
    <font>
      <sz val="11"/>
      <color theme="1"/>
      <name val="Arial"/>
      <family val="2"/>
    </font>
    <font>
      <i/>
      <sz val="11"/>
      <color theme="1"/>
      <name val="Arial"/>
      <family val="2"/>
    </font>
    <font>
      <sz val="12"/>
      <color theme="1"/>
      <name val="Arial"/>
      <family val="2"/>
    </font>
    <font>
      <b/>
      <sz val="9"/>
      <name val="Arial"/>
      <family val="2"/>
    </font>
    <font>
      <b/>
      <vertAlign val="subscript"/>
      <sz val="9"/>
      <name val="Arial"/>
      <family val="2"/>
    </font>
    <font>
      <sz val="9"/>
      <color theme="1"/>
      <name val="ＭＳ Ｐゴシック"/>
      <family val="3"/>
      <charset val="128"/>
    </font>
    <font>
      <sz val="9"/>
      <color theme="0" tint="-0.499984740745262"/>
      <name val="Arial"/>
      <family val="2"/>
    </font>
    <font>
      <sz val="9"/>
      <name val="MS Gothic"/>
      <family val="3"/>
    </font>
    <font>
      <u/>
      <sz val="11"/>
      <color theme="10"/>
      <name val="Calibri"/>
      <family val="2"/>
      <scheme val="minor"/>
    </font>
    <font>
      <sz val="9"/>
      <name val="ＭＳ Ｐゴシック"/>
      <family val="3"/>
      <charset val="128"/>
    </font>
    <font>
      <sz val="9"/>
      <color theme="1"/>
      <name val="Calibri"/>
      <family val="2"/>
      <scheme val="minor"/>
    </font>
    <font>
      <sz val="9"/>
      <color theme="1"/>
      <name val="Calibri"/>
      <family val="3"/>
      <charset val="128"/>
      <scheme val="minor"/>
    </font>
    <font>
      <u/>
      <sz val="9"/>
      <color theme="10"/>
      <name val="Arial"/>
      <family val="2"/>
    </font>
  </fonts>
  <fills count="10">
    <fill>
      <patternFill patternType="none"/>
    </fill>
    <fill>
      <patternFill patternType="gray125"/>
    </fill>
    <fill>
      <patternFill patternType="solid">
        <fgColor theme="8" tint="0.59996337778862885"/>
        <bgColor indexed="64"/>
      </patternFill>
    </fill>
    <fill>
      <patternFill patternType="solid">
        <fgColor theme="8" tint="0.59999389629810485"/>
        <bgColor indexed="64"/>
      </patternFill>
    </fill>
    <fill>
      <patternFill patternType="solid">
        <fgColor rgb="FFFFFF9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B7DEE8"/>
        <bgColor indexed="64"/>
      </patternFill>
    </fill>
    <fill>
      <patternFill patternType="solid">
        <fgColor theme="0"/>
        <bgColor indexed="64"/>
      </patternFill>
    </fill>
    <fill>
      <patternFill patternType="solid">
        <fgColor theme="6" tint="0.79998168889431442"/>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style="dotted">
        <color auto="1"/>
      </bottom>
      <diagonal/>
    </border>
    <border>
      <left style="thin">
        <color auto="1"/>
      </left>
      <right style="thin">
        <color auto="1"/>
      </right>
      <top style="dotted">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theme="3" tint="0.39994506668294322"/>
      </left>
      <right/>
      <top style="thick">
        <color theme="3" tint="0.39994506668294322"/>
      </top>
      <bottom/>
      <diagonal/>
    </border>
    <border>
      <left/>
      <right/>
      <top style="thick">
        <color theme="3" tint="0.39994506668294322"/>
      </top>
      <bottom/>
      <diagonal/>
    </border>
    <border>
      <left/>
      <right style="thick">
        <color theme="3" tint="0.39994506668294322"/>
      </right>
      <top style="thick">
        <color theme="3" tint="0.39994506668294322"/>
      </top>
      <bottom/>
      <diagonal/>
    </border>
    <border>
      <left style="thick">
        <color theme="3" tint="0.39994506668294322"/>
      </left>
      <right/>
      <top/>
      <bottom/>
      <diagonal/>
    </border>
    <border>
      <left/>
      <right style="thick">
        <color theme="3" tint="0.39994506668294322"/>
      </right>
      <top/>
      <bottom/>
      <diagonal/>
    </border>
    <border>
      <left style="thick">
        <color theme="3" tint="0.39994506668294322"/>
      </left>
      <right/>
      <top/>
      <bottom style="thick">
        <color theme="3" tint="0.39994506668294322"/>
      </bottom>
      <diagonal/>
    </border>
    <border>
      <left/>
      <right/>
      <top/>
      <bottom style="thick">
        <color theme="3" tint="0.39994506668294322"/>
      </bottom>
      <diagonal/>
    </border>
    <border>
      <left/>
      <right style="thick">
        <color theme="3" tint="0.39994506668294322"/>
      </right>
      <top/>
      <bottom style="thick">
        <color theme="3" tint="0.39994506668294322"/>
      </bottom>
      <diagonal/>
    </border>
  </borders>
  <cellStyleXfs count="3">
    <xf numFmtId="0" fontId="0" fillId="0" borderId="0"/>
    <xf numFmtId="0" fontId="2" fillId="0" borderId="0" applyNumberFormat="0" applyFill="0" applyBorder="0" applyAlignment="0" applyProtection="0"/>
    <xf numFmtId="0" fontId="24" fillId="0" borderId="0" applyNumberFormat="0" applyFill="0" applyBorder="0" applyAlignment="0" applyProtection="0"/>
  </cellStyleXfs>
  <cellXfs count="185">
    <xf numFmtId="0" fontId="0" fillId="0" borderId="0" xfId="0"/>
    <xf numFmtId="0" fontId="2" fillId="6" borderId="0" xfId="1" applyFill="1" applyProtection="1"/>
    <xf numFmtId="0" fontId="4" fillId="0" borderId="0" xfId="0" applyFont="1"/>
    <xf numFmtId="164" fontId="2" fillId="0" borderId="0" xfId="0" applyNumberFormat="1" applyFont="1"/>
    <xf numFmtId="0" fontId="2" fillId="0" borderId="11" xfId="0" applyFont="1" applyBorder="1"/>
    <xf numFmtId="0" fontId="2" fillId="0" borderId="0" xfId="0" applyFont="1" applyAlignment="1">
      <alignment horizontal="left" vertical="top"/>
    </xf>
    <xf numFmtId="2" fontId="2" fillId="3" borderId="0" xfId="0" applyNumberFormat="1" applyFont="1" applyFill="1"/>
    <xf numFmtId="0" fontId="2" fillId="0" borderId="7" xfId="0" applyFont="1" applyBorder="1"/>
    <xf numFmtId="0" fontId="2" fillId="0" borderId="6" xfId="0" applyFont="1" applyBorder="1"/>
    <xf numFmtId="0" fontId="6" fillId="0" borderId="14" xfId="0" applyFont="1" applyBorder="1"/>
    <xf numFmtId="0" fontId="2" fillId="0" borderId="9" xfId="0" applyFont="1" applyBorder="1"/>
    <xf numFmtId="0" fontId="6" fillId="0" borderId="15" xfId="0" applyFont="1" applyBorder="1"/>
    <xf numFmtId="0" fontId="2" fillId="0" borderId="13" xfId="0" applyFont="1" applyBorder="1"/>
    <xf numFmtId="166" fontId="2" fillId="2" borderId="6" xfId="0" applyNumberFormat="1" applyFont="1" applyFill="1" applyBorder="1" applyAlignment="1">
      <alignment horizontal="center" vertical="center"/>
    </xf>
    <xf numFmtId="1" fontId="2" fillId="4" borderId="1" xfId="0" applyNumberFormat="1" applyFont="1" applyFill="1" applyBorder="1" applyAlignment="1" applyProtection="1">
      <alignment horizontal="center" vertical="center"/>
      <protection locked="0"/>
    </xf>
    <xf numFmtId="0" fontId="2" fillId="0" borderId="6" xfId="0" applyFont="1" applyBorder="1" applyAlignment="1">
      <alignment horizontal="center" vertical="center"/>
    </xf>
    <xf numFmtId="0" fontId="9" fillId="0" borderId="0" xfId="0" applyFont="1"/>
    <xf numFmtId="0" fontId="2" fillId="0" borderId="0" xfId="0" applyFont="1"/>
    <xf numFmtId="0" fontId="3" fillId="0" borderId="0" xfId="0" applyFont="1" applyAlignment="1">
      <alignment vertical="center"/>
    </xf>
    <xf numFmtId="0" fontId="2" fillId="0" borderId="0" xfId="0" applyFont="1" applyAlignment="1">
      <alignment vertical="center"/>
    </xf>
    <xf numFmtId="0" fontId="2" fillId="3" borderId="0" xfId="0" applyFont="1" applyFill="1"/>
    <xf numFmtId="0" fontId="2" fillId="4" borderId="0" xfId="0" applyFont="1" applyFill="1"/>
    <xf numFmtId="0" fontId="2" fillId="5" borderId="0" xfId="0" applyFont="1" applyFill="1"/>
    <xf numFmtId="0" fontId="10" fillId="0" borderId="0" xfId="0" applyFont="1"/>
    <xf numFmtId="0" fontId="14" fillId="0" borderId="0" xfId="0" applyFont="1"/>
    <xf numFmtId="0" fontId="2" fillId="0" borderId="5" xfId="0" applyFont="1" applyBorder="1"/>
    <xf numFmtId="0" fontId="2" fillId="0" borderId="1" xfId="0" applyFont="1" applyBorder="1"/>
    <xf numFmtId="164" fontId="2" fillId="0" borderId="0" xfId="0" applyNumberFormat="1" applyFont="1" applyAlignment="1">
      <alignment horizontal="right"/>
    </xf>
    <xf numFmtId="0" fontId="2" fillId="0" borderId="0" xfId="0" applyFont="1" applyAlignment="1">
      <alignment horizontal="right"/>
    </xf>
    <xf numFmtId="0" fontId="3" fillId="0" borderId="8" xfId="0" applyFont="1" applyBorder="1"/>
    <xf numFmtId="0" fontId="2" fillId="0" borderId="10" xfId="0" applyFont="1" applyBorder="1"/>
    <xf numFmtId="0" fontId="6" fillId="0" borderId="12" xfId="0" applyFont="1" applyBorder="1"/>
    <xf numFmtId="0" fontId="2" fillId="0" borderId="0" xfId="0" quotePrefix="1" applyFont="1" applyAlignment="1">
      <alignment vertical="center"/>
    </xf>
    <xf numFmtId="166" fontId="2" fillId="2" borderId="0" xfId="0" applyNumberFormat="1" applyFont="1" applyFill="1"/>
    <xf numFmtId="0" fontId="2" fillId="0" borderId="0" xfId="0" applyFont="1" applyAlignment="1">
      <alignment horizontal="left"/>
    </xf>
    <xf numFmtId="2" fontId="2" fillId="2" borderId="0" xfId="0" applyNumberFormat="1" applyFont="1" applyFill="1"/>
    <xf numFmtId="2" fontId="2" fillId="0" borderId="0" xfId="0" applyNumberFormat="1" applyFont="1"/>
    <xf numFmtId="165" fontId="2" fillId="3" borderId="0" xfId="0" applyNumberFormat="1" applyFont="1" applyFill="1"/>
    <xf numFmtId="1" fontId="2" fillId="3" borderId="0" xfId="0" applyNumberFormat="1" applyFont="1" applyFill="1"/>
    <xf numFmtId="1" fontId="15" fillId="0" borderId="0" xfId="0" applyNumberFormat="1" applyFont="1"/>
    <xf numFmtId="1" fontId="15" fillId="0" borderId="0" xfId="0" applyNumberFormat="1" applyFont="1" applyAlignment="1">
      <alignment horizontal="right"/>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165" fontId="2" fillId="4" borderId="1" xfId="0" applyNumberFormat="1" applyFont="1" applyFill="1" applyBorder="1" applyAlignment="1" applyProtection="1">
      <alignment horizontal="center" vertical="center"/>
      <protection locked="0"/>
    </xf>
    <xf numFmtId="165" fontId="2" fillId="4" borderId="5" xfId="0" applyNumberFormat="1" applyFont="1" applyFill="1" applyBorder="1" applyAlignment="1" applyProtection="1">
      <alignment horizontal="center" vertical="center"/>
      <protection locked="0"/>
    </xf>
    <xf numFmtId="166" fontId="2" fillId="2" borderId="1" xfId="0" applyNumberFormat="1" applyFont="1" applyFill="1" applyBorder="1" applyAlignment="1">
      <alignment horizontal="center" vertical="center"/>
    </xf>
    <xf numFmtId="166" fontId="2" fillId="4" borderId="1" xfId="0" applyNumberFormat="1" applyFont="1" applyFill="1" applyBorder="1" applyAlignment="1" applyProtection="1">
      <alignment horizontal="center" vertical="center"/>
      <protection locked="0"/>
    </xf>
    <xf numFmtId="166" fontId="2" fillId="4" borderId="0" xfId="0" applyNumberFormat="1" applyFont="1" applyFill="1" applyAlignment="1" applyProtection="1">
      <alignment horizontal="center" vertical="center"/>
      <protection locked="0"/>
    </xf>
    <xf numFmtId="2" fontId="2" fillId="4" borderId="1" xfId="0" applyNumberFormat="1"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0" fontId="2" fillId="0" borderId="0" xfId="0" applyFont="1" applyAlignment="1">
      <alignment horizontal="left" vertical="center"/>
    </xf>
    <xf numFmtId="0" fontId="18" fillId="0" borderId="0" xfId="0" applyFont="1" applyAlignment="1">
      <alignment horizontal="right" vertical="center"/>
    </xf>
    <xf numFmtId="169" fontId="2" fillId="0" borderId="0" xfId="0" applyNumberFormat="1" applyFont="1"/>
    <xf numFmtId="168" fontId="2" fillId="3" borderId="28" xfId="0" applyNumberFormat="1" applyFont="1" applyFill="1" applyBorder="1" applyAlignment="1">
      <alignment horizontal="center" vertical="center"/>
    </xf>
    <xf numFmtId="168" fontId="2" fillId="3" borderId="25" xfId="0" applyNumberFormat="1" applyFont="1" applyFill="1" applyBorder="1" applyAlignment="1">
      <alignment horizontal="center" vertical="center"/>
    </xf>
    <xf numFmtId="0" fontId="2" fillId="0" borderId="0" xfId="0" quotePrefix="1" applyFont="1" applyAlignment="1">
      <alignment horizontal="right"/>
    </xf>
    <xf numFmtId="0" fontId="2" fillId="0" borderId="5" xfId="0" applyFont="1" applyBorder="1" applyAlignment="1">
      <alignment horizontal="left" vertical="center"/>
    </xf>
    <xf numFmtId="0" fontId="2" fillId="0" borderId="4" xfId="0" applyFont="1" applyBorder="1" applyAlignment="1">
      <alignment horizontal="center" vertical="center"/>
    </xf>
    <xf numFmtId="0" fontId="2" fillId="8" borderId="6" xfId="0" applyFont="1" applyFill="1" applyBorder="1" applyAlignment="1">
      <alignment horizontal="right" vertical="center"/>
    </xf>
    <xf numFmtId="0" fontId="2" fillId="0" borderId="7" xfId="0" applyFont="1" applyBorder="1" applyAlignment="1">
      <alignment horizontal="left"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1" fontId="2" fillId="0" borderId="1" xfId="0" applyNumberFormat="1" applyFont="1" applyBorder="1" applyAlignment="1">
      <alignment horizontal="center" vertical="center"/>
    </xf>
    <xf numFmtId="0" fontId="2" fillId="6" borderId="0" xfId="0" applyFont="1" applyFill="1"/>
    <xf numFmtId="0" fontId="2" fillId="2" borderId="0" xfId="0" applyFont="1" applyFill="1"/>
    <xf numFmtId="0" fontId="2" fillId="0" borderId="7" xfId="0" applyFont="1" applyBorder="1" applyAlignment="1">
      <alignment horizontal="center" vertical="center"/>
    </xf>
    <xf numFmtId="165" fontId="2" fillId="2" borderId="1" xfId="0" applyNumberFormat="1" applyFont="1" applyFill="1" applyBorder="1" applyAlignment="1">
      <alignment horizontal="center" vertical="center"/>
    </xf>
    <xf numFmtId="0" fontId="2" fillId="0" borderId="14" xfId="0" applyFont="1" applyBorder="1" applyAlignment="1">
      <alignment vertical="center"/>
    </xf>
    <xf numFmtId="1" fontId="2" fillId="2" borderId="1" xfId="0" applyNumberFormat="1" applyFont="1" applyFill="1" applyBorder="1" applyAlignment="1">
      <alignment horizontal="center" vertical="center"/>
    </xf>
    <xf numFmtId="1" fontId="2" fillId="0" borderId="7" xfId="0" applyNumberFormat="1" applyFont="1" applyBorder="1" applyAlignment="1">
      <alignment horizontal="center" vertical="center"/>
    </xf>
    <xf numFmtId="165" fontId="2" fillId="0" borderId="1" xfId="0" applyNumberFormat="1" applyFont="1" applyBorder="1" applyAlignment="1">
      <alignment horizontal="center" vertical="center"/>
    </xf>
    <xf numFmtId="0" fontId="2" fillId="0" borderId="8" xfId="0" applyFont="1" applyBorder="1" applyAlignment="1">
      <alignment horizontal="centerContinuous" vertical="center"/>
    </xf>
    <xf numFmtId="0" fontId="2" fillId="0" borderId="6" xfId="0" applyFont="1" applyBorder="1" applyAlignment="1">
      <alignment horizontal="centerContinuous" vertical="center"/>
    </xf>
    <xf numFmtId="0" fontId="2" fillId="0" borderId="7" xfId="0" applyFont="1" applyBorder="1" applyAlignment="1">
      <alignment horizontal="centerContinuous" vertical="center"/>
    </xf>
    <xf numFmtId="0" fontId="2" fillId="7" borderId="7" xfId="0" applyFont="1" applyFill="1" applyBorder="1" applyAlignment="1">
      <alignment horizontal="center" vertical="center"/>
    </xf>
    <xf numFmtId="0" fontId="2" fillId="0" borderId="6" xfId="0" applyFont="1" applyBorder="1" applyAlignment="1">
      <alignment horizontal="left" vertical="center"/>
    </xf>
    <xf numFmtId="0" fontId="2" fillId="7" borderId="1" xfId="0" applyFont="1" applyFill="1" applyBorder="1" applyAlignment="1">
      <alignment horizontal="center" vertical="center"/>
    </xf>
    <xf numFmtId="171" fontId="2" fillId="0" borderId="7" xfId="0" applyNumberFormat="1" applyFont="1" applyBorder="1" applyAlignment="1">
      <alignment horizontal="left" vertical="center"/>
    </xf>
    <xf numFmtId="0" fontId="2" fillId="0" borderId="15" xfId="0" applyFont="1" applyBorder="1" applyAlignment="1">
      <alignment vertical="center"/>
    </xf>
    <xf numFmtId="1" fontId="2" fillId="0" borderId="9" xfId="0" applyNumberFormat="1" applyFont="1" applyBorder="1" applyAlignment="1">
      <alignment horizontal="center" vertical="center"/>
    </xf>
    <xf numFmtId="2" fontId="2" fillId="2" borderId="1" xfId="0" applyNumberFormat="1" applyFont="1" applyFill="1" applyBorder="1" applyAlignment="1">
      <alignment horizontal="center" vertical="center"/>
    </xf>
    <xf numFmtId="0" fontId="2" fillId="0" borderId="1" xfId="0" applyFont="1" applyBorder="1" applyAlignment="1">
      <alignment vertical="center"/>
    </xf>
    <xf numFmtId="0" fontId="0" fillId="0" borderId="7" xfId="0" applyBorder="1"/>
    <xf numFmtId="0" fontId="0" fillId="0" borderId="6" xfId="0" applyBorder="1"/>
    <xf numFmtId="0" fontId="16" fillId="0" borderId="0" xfId="0" applyFont="1" applyAlignment="1">
      <alignment horizontal="right" vertical="center"/>
    </xf>
    <xf numFmtId="0" fontId="2" fillId="0" borderId="0" xfId="0" applyFont="1" applyAlignment="1">
      <alignment horizontal="right" vertical="center"/>
    </xf>
    <xf numFmtId="167" fontId="2" fillId="0" borderId="5" xfId="0" applyNumberFormat="1" applyFont="1" applyBorder="1" applyAlignment="1">
      <alignment horizontal="left" vertical="top"/>
    </xf>
    <xf numFmtId="167" fontId="2" fillId="0" borderId="6" xfId="0" applyNumberFormat="1" applyFont="1" applyBorder="1" applyAlignment="1">
      <alignment horizontal="left" vertical="top"/>
    </xf>
    <xf numFmtId="167" fontId="2" fillId="0" borderId="7" xfId="0" applyNumberFormat="1" applyFont="1" applyBorder="1" applyAlignment="1">
      <alignment horizontal="left" vertical="top"/>
    </xf>
    <xf numFmtId="0" fontId="2" fillId="0" borderId="14" xfId="0" applyFont="1" applyBorder="1"/>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10" fontId="2" fillId="0" borderId="23" xfId="0" applyNumberFormat="1" applyFont="1" applyBorder="1" applyAlignment="1">
      <alignment horizontal="center" vertical="center"/>
    </xf>
    <xf numFmtId="0" fontId="2" fillId="8" borderId="0" xfId="0" applyFont="1" applyFill="1" applyAlignment="1">
      <alignment horizontal="right"/>
    </xf>
    <xf numFmtId="0" fontId="2" fillId="8" borderId="24" xfId="0" applyFont="1" applyFill="1" applyBorder="1" applyAlignment="1">
      <alignment horizontal="center" vertical="center"/>
    </xf>
    <xf numFmtId="0" fontId="2" fillId="0" borderId="26" xfId="0" applyFont="1" applyBorder="1" applyAlignment="1">
      <alignment horizontal="center" vertical="center"/>
    </xf>
    <xf numFmtId="10" fontId="2" fillId="0" borderId="27" xfId="0" applyNumberFormat="1" applyFont="1" applyBorder="1" applyAlignment="1">
      <alignment horizontal="center" vertical="center"/>
    </xf>
    <xf numFmtId="0" fontId="19" fillId="0" borderId="0" xfId="0" applyFont="1"/>
    <xf numFmtId="0" fontId="2" fillId="8" borderId="0" xfId="0" applyFont="1" applyFill="1" applyAlignment="1">
      <alignment horizontal="center" vertical="center"/>
    </xf>
    <xf numFmtId="10" fontId="2" fillId="0" borderId="0" xfId="0" applyNumberFormat="1" applyFont="1" applyAlignment="1">
      <alignment horizontal="center" vertical="center"/>
    </xf>
    <xf numFmtId="0" fontId="2" fillId="0" borderId="9" xfId="0" applyFont="1" applyBorder="1" applyAlignment="1">
      <alignment horizontal="center" vertical="center"/>
    </xf>
    <xf numFmtId="170" fontId="2" fillId="2" borderId="1" xfId="0" applyNumberFormat="1" applyFont="1" applyFill="1" applyBorder="1" applyAlignment="1">
      <alignment horizontal="center" vertical="center"/>
    </xf>
    <xf numFmtId="0" fontId="2" fillId="0" borderId="8" xfId="0" applyFont="1" applyBorder="1"/>
    <xf numFmtId="2" fontId="2" fillId="3" borderId="1" xfId="0" applyNumberFormat="1" applyFont="1" applyFill="1" applyBorder="1" applyAlignment="1">
      <alignment horizontal="center" vertical="center"/>
    </xf>
    <xf numFmtId="172" fontId="2" fillId="2" borderId="1" xfId="0" applyNumberFormat="1" applyFont="1" applyFill="1" applyBorder="1" applyAlignment="1">
      <alignment horizontal="center" vertical="center"/>
    </xf>
    <xf numFmtId="172" fontId="2" fillId="2" borderId="0" xfId="0" applyNumberFormat="1" applyFont="1" applyFill="1"/>
    <xf numFmtId="49" fontId="2" fillId="0" borderId="0" xfId="0" applyNumberFormat="1" applyFont="1"/>
    <xf numFmtId="49" fontId="2" fillId="6" borderId="0" xfId="0" applyNumberFormat="1" applyFont="1" applyFill="1"/>
    <xf numFmtId="49" fontId="2" fillId="0" borderId="1" xfId="0" applyNumberFormat="1" applyFont="1" applyBorder="1"/>
    <xf numFmtId="0" fontId="3" fillId="0" borderId="0" xfId="0" applyFont="1"/>
    <xf numFmtId="2" fontId="2" fillId="4" borderId="5" xfId="0" applyNumberFormat="1" applyFont="1" applyFill="1" applyBorder="1" applyAlignment="1" applyProtection="1">
      <alignment horizontal="center" vertical="center"/>
      <protection locked="0"/>
    </xf>
    <xf numFmtId="0" fontId="2" fillId="0" borderId="1" xfId="0" applyFont="1" applyBorder="1" applyAlignment="1">
      <alignment horizontal="left" vertical="center"/>
    </xf>
    <xf numFmtId="0" fontId="2" fillId="0" borderId="17" xfId="0" applyFont="1" applyBorder="1" applyAlignment="1">
      <alignment horizontal="left" vertical="center"/>
    </xf>
    <xf numFmtId="0" fontId="2" fillId="0" borderId="1" xfId="0" applyFont="1" applyBorder="1" applyAlignment="1">
      <alignment vertical="center" wrapText="1"/>
    </xf>
    <xf numFmtId="1" fontId="2" fillId="0" borderId="5" xfId="0" applyNumberFormat="1" applyFont="1" applyBorder="1"/>
    <xf numFmtId="0" fontId="22" fillId="6" borderId="0" xfId="0" applyFont="1" applyFill="1"/>
    <xf numFmtId="165" fontId="2" fillId="7" borderId="1" xfId="0" applyNumberFormat="1" applyFont="1" applyFill="1" applyBorder="1" applyAlignment="1">
      <alignment horizontal="center" vertical="center"/>
    </xf>
    <xf numFmtId="0" fontId="2" fillId="0" borderId="0" xfId="1" applyProtection="1"/>
    <xf numFmtId="0" fontId="2" fillId="0" borderId="0" xfId="1" applyAlignment="1" applyProtection="1">
      <alignment horizontal="right"/>
    </xf>
    <xf numFmtId="0" fontId="2" fillId="0" borderId="0" xfId="1" applyNumberFormat="1" applyAlignment="1" applyProtection="1">
      <alignment horizontal="right"/>
    </xf>
    <xf numFmtId="0" fontId="11" fillId="0" borderId="0" xfId="0" applyFont="1" applyAlignment="1">
      <alignment vertical="center"/>
    </xf>
    <xf numFmtId="0" fontId="3" fillId="6" borderId="0" xfId="0" applyFont="1" applyFill="1" applyAlignment="1">
      <alignment vertical="center"/>
    </xf>
    <xf numFmtId="0" fontId="3" fillId="0" borderId="1" xfId="0" applyFont="1" applyBorder="1" applyAlignment="1">
      <alignment vertical="center" shrinkToFit="1"/>
    </xf>
    <xf numFmtId="0" fontId="12" fillId="0" borderId="0" xfId="0" applyFont="1" applyAlignment="1">
      <alignment vertical="center"/>
    </xf>
    <xf numFmtId="164" fontId="2" fillId="3" borderId="1" xfId="0" applyNumberFormat="1" applyFont="1" applyFill="1" applyBorder="1" applyAlignment="1">
      <alignment horizontal="center" vertical="center"/>
    </xf>
    <xf numFmtId="0" fontId="2" fillId="0" borderId="2" xfId="0" applyFont="1" applyBorder="1" applyAlignment="1">
      <alignment vertical="center" wrapText="1"/>
    </xf>
    <xf numFmtId="167" fontId="2" fillId="0" borderId="5" xfId="0" applyNumberFormat="1" applyFont="1" applyBorder="1" applyAlignment="1">
      <alignment vertical="top"/>
    </xf>
    <xf numFmtId="167" fontId="2" fillId="0" borderId="6" xfId="0" applyNumberFormat="1" applyFont="1" applyBorder="1" applyAlignment="1">
      <alignment vertical="top"/>
    </xf>
    <xf numFmtId="0" fontId="2" fillId="0" borderId="3" xfId="0" applyFont="1" applyBorder="1" applyAlignment="1">
      <alignment horizontal="left" vertical="center" shrinkToFit="1"/>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3" fillId="0" borderId="0" xfId="0" applyFont="1" applyAlignment="1">
      <alignment vertical="center"/>
    </xf>
    <xf numFmtId="0" fontId="3" fillId="9" borderId="29" xfId="0" applyFont="1" applyFill="1" applyBorder="1" applyAlignment="1">
      <alignment vertical="center"/>
    </xf>
    <xf numFmtId="0" fontId="3" fillId="9" borderId="30" xfId="0" applyFont="1" applyFill="1" applyBorder="1" applyAlignment="1">
      <alignment vertical="center"/>
    </xf>
    <xf numFmtId="0" fontId="3" fillId="9" borderId="31" xfId="0" applyFont="1" applyFill="1" applyBorder="1" applyAlignment="1">
      <alignment vertical="center"/>
    </xf>
    <xf numFmtId="0" fontId="25" fillId="9" borderId="32" xfId="0" applyFont="1" applyFill="1" applyBorder="1" applyAlignment="1">
      <alignment vertical="center"/>
    </xf>
    <xf numFmtId="0" fontId="0" fillId="9" borderId="0" xfId="0" applyFill="1" applyAlignment="1">
      <alignment vertical="center"/>
    </xf>
    <xf numFmtId="0" fontId="3" fillId="9" borderId="32" xfId="0" applyFont="1" applyFill="1" applyBorder="1" applyAlignment="1">
      <alignment vertical="center"/>
    </xf>
    <xf numFmtId="0" fontId="3" fillId="9" borderId="0" xfId="0" applyFont="1" applyFill="1" applyAlignment="1">
      <alignment vertical="center"/>
    </xf>
    <xf numFmtId="0" fontId="3" fillId="9" borderId="33" xfId="0" applyFont="1" applyFill="1" applyBorder="1" applyAlignment="1">
      <alignment vertical="center"/>
    </xf>
    <xf numFmtId="0" fontId="3" fillId="9" borderId="34" xfId="0" applyFont="1" applyFill="1" applyBorder="1" applyAlignment="1">
      <alignment vertical="center"/>
    </xf>
    <xf numFmtId="0" fontId="3" fillId="9" borderId="35" xfId="0" applyFont="1" applyFill="1" applyBorder="1" applyAlignment="1">
      <alignment vertical="center"/>
    </xf>
    <xf numFmtId="0" fontId="3" fillId="8" borderId="0" xfId="0" applyFont="1" applyFill="1" applyAlignment="1">
      <alignment vertical="center"/>
    </xf>
    <xf numFmtId="0" fontId="28" fillId="8" borderId="0" xfId="2" applyFont="1" applyFill="1" applyBorder="1" applyAlignment="1" applyProtection="1">
      <alignment vertical="center"/>
    </xf>
    <xf numFmtId="0" fontId="28" fillId="8" borderId="0" xfId="2" applyFont="1" applyFill="1" applyBorder="1" applyAlignment="1">
      <alignment vertical="center"/>
    </xf>
    <xf numFmtId="165" fontId="2" fillId="5" borderId="1" xfId="0" applyNumberFormat="1" applyFont="1" applyFill="1" applyBorder="1" applyAlignment="1">
      <alignment horizontal="center" vertical="center"/>
    </xf>
    <xf numFmtId="168" fontId="2" fillId="5"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6" fillId="9" borderId="0" xfId="0" applyFont="1" applyFill="1" applyAlignment="1">
      <alignment vertical="center" wrapText="1"/>
    </xf>
    <xf numFmtId="0" fontId="27" fillId="9" borderId="0" xfId="0" applyFont="1" applyFill="1" applyAlignment="1">
      <alignment vertical="center" wrapText="1"/>
    </xf>
    <xf numFmtId="0" fontId="27" fillId="9" borderId="33" xfId="0" applyFont="1" applyFill="1" applyBorder="1" applyAlignment="1">
      <alignment vertical="center" wrapText="1"/>
    </xf>
    <xf numFmtId="0" fontId="3" fillId="9" borderId="0" xfId="0" applyFont="1" applyFill="1" applyAlignment="1">
      <alignment vertical="center" wrapText="1"/>
    </xf>
    <xf numFmtId="0" fontId="0" fillId="9" borderId="0" xfId="0" applyFill="1" applyAlignment="1">
      <alignment vertical="center" wrapText="1"/>
    </xf>
    <xf numFmtId="0" fontId="0" fillId="9" borderId="33" xfId="0" applyFill="1" applyBorder="1" applyAlignment="1">
      <alignment vertical="center" wrapText="1"/>
    </xf>
    <xf numFmtId="0" fontId="25" fillId="9" borderId="0" xfId="0" applyFont="1" applyFill="1" applyAlignment="1">
      <alignment vertical="center"/>
    </xf>
    <xf numFmtId="0" fontId="0" fillId="0" borderId="0" xfId="0" applyAlignment="1">
      <alignment vertical="center"/>
    </xf>
    <xf numFmtId="0" fontId="0" fillId="0" borderId="33" xfId="0" applyBorder="1" applyAlignment="1">
      <alignment vertical="center"/>
    </xf>
    <xf numFmtId="0" fontId="28" fillId="9" borderId="35" xfId="2" applyFont="1" applyFill="1" applyBorder="1" applyAlignment="1" applyProtection="1">
      <alignment vertical="center"/>
    </xf>
    <xf numFmtId="0" fontId="28" fillId="9" borderId="35" xfId="2" applyFont="1" applyFill="1" applyBorder="1" applyAlignment="1">
      <alignment vertical="center"/>
    </xf>
    <xf numFmtId="0" fontId="28" fillId="9" borderId="36" xfId="2" applyFont="1" applyFill="1" applyBorder="1" applyAlignment="1">
      <alignment vertical="center"/>
    </xf>
    <xf numFmtId="0" fontId="2" fillId="0" borderId="2"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3" xfId="0" applyFont="1" applyBorder="1" applyAlignment="1">
      <alignment vertical="center"/>
    </xf>
    <xf numFmtId="0" fontId="0" fillId="0" borderId="4" xfId="0" applyBorder="1" applyAlignment="1">
      <alignment vertical="center"/>
    </xf>
    <xf numFmtId="0" fontId="2" fillId="0" borderId="2" xfId="0" applyFont="1" applyBorder="1" applyAlignment="1">
      <alignment horizontal="left" vertical="center"/>
    </xf>
    <xf numFmtId="0" fontId="0" fillId="0" borderId="16" xfId="0" applyBorder="1" applyAlignment="1">
      <alignment horizontal="left" vertical="center"/>
    </xf>
    <xf numFmtId="0" fontId="0" fillId="0" borderId="4" xfId="0" applyBorder="1"/>
    <xf numFmtId="0" fontId="2" fillId="0" borderId="2" xfId="0" applyFont="1" applyBorder="1" applyAlignment="1">
      <alignment vertical="center" wrapText="1"/>
    </xf>
    <xf numFmtId="0" fontId="16" fillId="0" borderId="3" xfId="0" applyFont="1" applyBorder="1" applyAlignment="1">
      <alignment vertical="center" wrapText="1"/>
    </xf>
    <xf numFmtId="0" fontId="16" fillId="0" borderId="4" xfId="0" applyFont="1" applyBorder="1" applyAlignment="1">
      <alignment vertical="center" wrapText="1"/>
    </xf>
    <xf numFmtId="0" fontId="2" fillId="0" borderId="5" xfId="0" applyFont="1" applyBorder="1" applyAlignment="1">
      <alignment vertical="center" wrapText="1"/>
    </xf>
    <xf numFmtId="0" fontId="2" fillId="0" borderId="1"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Hipervínculo" xfId="2" builtinId="8"/>
    <cellStyle name="Normal" xfId="0" builtinId="0"/>
    <cellStyle name="標準 2" xfId="1" xr:uid="{00000000-0005-0000-0000-000002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C0000"/>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bgColor rgb="FFFFC7CE"/>
        </patternFill>
      </fill>
    </dxf>
    <dxf>
      <font>
        <color rgb="FFC00000"/>
      </font>
      <fill>
        <patternFill>
          <bgColor rgb="FFFFC7CE"/>
        </patternFill>
      </fill>
    </dxf>
    <dxf>
      <font>
        <color rgb="FFC00000"/>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9C0006"/>
      <color rgb="FFFFC7CE"/>
      <color rgb="FFB6DEE8"/>
      <color rgb="FFB7DEE8"/>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116</xdr:row>
      <xdr:rowOff>0</xdr:rowOff>
    </xdr:from>
    <xdr:to>
      <xdr:col>17</xdr:col>
      <xdr:colOff>494517</xdr:colOff>
      <xdr:row>126</xdr:row>
      <xdr:rowOff>54939</xdr:rowOff>
    </xdr:to>
    <xdr:pic>
      <xdr:nvPicPr>
        <xdr:cNvPr id="53" name="Picture 52">
          <a:extLst>
            <a:ext uri="{FF2B5EF4-FFF2-40B4-BE49-F238E27FC236}">
              <a16:creationId xmlns:a16="http://schemas.microsoft.com/office/drawing/2014/main" id="{00000000-0008-0000-0200-000035000000}"/>
            </a:ext>
          </a:extLst>
        </xdr:cNvPr>
        <xdr:cNvPicPr>
          <a:picLocks noChangeAspect="1"/>
        </xdr:cNvPicPr>
      </xdr:nvPicPr>
      <xdr:blipFill>
        <a:blip xmlns:r="http://schemas.openxmlformats.org/officeDocument/2006/relationships" r:embed="rId1"/>
        <a:stretch>
          <a:fillRect/>
        </a:stretch>
      </xdr:blipFill>
      <xdr:spPr>
        <a:xfrm>
          <a:off x="10934700" y="21536025"/>
          <a:ext cx="4695042" cy="2036139"/>
        </a:xfrm>
        <a:prstGeom prst="rect">
          <a:avLst/>
        </a:prstGeom>
        <a:ln>
          <a:solidFill>
            <a:schemeClr val="tx1"/>
          </a:solidFill>
        </a:ln>
      </xdr:spPr>
    </xdr:pic>
    <xdr:clientData/>
  </xdr:twoCellAnchor>
  <xdr:twoCellAnchor editAs="oneCell">
    <xdr:from>
      <xdr:col>10</xdr:col>
      <xdr:colOff>0</xdr:colOff>
      <xdr:row>48</xdr:row>
      <xdr:rowOff>0</xdr:rowOff>
    </xdr:from>
    <xdr:to>
      <xdr:col>17</xdr:col>
      <xdr:colOff>494517</xdr:colOff>
      <xdr:row>58</xdr:row>
      <xdr:rowOff>226389</xdr:rowOff>
    </xdr:to>
    <xdr:pic>
      <xdr:nvPicPr>
        <xdr:cNvPr id="47" name="Picture 46">
          <a:extLst>
            <a:ext uri="{FF2B5EF4-FFF2-40B4-BE49-F238E27FC236}">
              <a16:creationId xmlns:a16="http://schemas.microsoft.com/office/drawing/2014/main" id="{00000000-0008-0000-0200-00002F000000}"/>
            </a:ext>
          </a:extLst>
        </xdr:cNvPr>
        <xdr:cNvPicPr>
          <a:picLocks noChangeAspect="1"/>
        </xdr:cNvPicPr>
      </xdr:nvPicPr>
      <xdr:blipFill>
        <a:blip xmlns:r="http://schemas.openxmlformats.org/officeDocument/2006/relationships" r:embed="rId1"/>
        <a:stretch>
          <a:fillRect/>
        </a:stretch>
      </xdr:blipFill>
      <xdr:spPr>
        <a:xfrm>
          <a:off x="10916478" y="7760804"/>
          <a:ext cx="4668952" cy="2051048"/>
        </a:xfrm>
        <a:prstGeom prst="rect">
          <a:avLst/>
        </a:prstGeom>
        <a:ln>
          <a:solidFill>
            <a:schemeClr val="tx1"/>
          </a:solidFill>
        </a:ln>
      </xdr:spPr>
    </xdr:pic>
    <xdr:clientData/>
  </xdr:twoCellAnchor>
  <xdr:twoCellAnchor editAs="oneCell">
    <xdr:from>
      <xdr:col>10</xdr:col>
      <xdr:colOff>0</xdr:colOff>
      <xdr:row>18</xdr:row>
      <xdr:rowOff>0</xdr:rowOff>
    </xdr:from>
    <xdr:to>
      <xdr:col>17</xdr:col>
      <xdr:colOff>494517</xdr:colOff>
      <xdr:row>28</xdr:row>
      <xdr:rowOff>121200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10916478" y="2559326"/>
          <a:ext cx="4668952" cy="2051048"/>
        </a:xfrm>
        <a:prstGeom prst="rect">
          <a:avLst/>
        </a:prstGeom>
        <a:ln>
          <a:solidFill>
            <a:schemeClr val="tx1"/>
          </a:solidFill>
        </a:ln>
      </xdr:spPr>
    </xdr:pic>
    <xdr:clientData/>
  </xdr:twoCellAnchor>
  <xdr:twoCellAnchor editAs="oneCell">
    <xdr:from>
      <xdr:col>2</xdr:col>
      <xdr:colOff>196272</xdr:colOff>
      <xdr:row>73</xdr:row>
      <xdr:rowOff>92364</xdr:rowOff>
    </xdr:from>
    <xdr:to>
      <xdr:col>2</xdr:col>
      <xdr:colOff>2319250</xdr:colOff>
      <xdr:row>75</xdr:row>
      <xdr:rowOff>58064</xdr:rowOff>
    </xdr:to>
    <xdr:pic>
      <xdr:nvPicPr>
        <xdr:cNvPr id="36" name="Picture 35">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2" cstate="print"/>
        <a:stretch>
          <a:fillRect/>
        </a:stretch>
      </xdr:blipFill>
      <xdr:spPr>
        <a:xfrm>
          <a:off x="1443181" y="12434455"/>
          <a:ext cx="2122978" cy="265881"/>
        </a:xfrm>
        <a:prstGeom prst="rect">
          <a:avLst/>
        </a:prstGeom>
      </xdr:spPr>
    </xdr:pic>
    <xdr:clientData/>
  </xdr:twoCellAnchor>
  <xdr:twoCellAnchor editAs="oneCell">
    <xdr:from>
      <xdr:col>16</xdr:col>
      <xdr:colOff>285750</xdr:colOff>
      <xdr:row>0</xdr:row>
      <xdr:rowOff>88900</xdr:rowOff>
    </xdr:from>
    <xdr:to>
      <xdr:col>17</xdr:col>
      <xdr:colOff>458264</xdr:colOff>
      <xdr:row>3</xdr:row>
      <xdr:rowOff>19237</xdr:rowOff>
    </xdr:to>
    <xdr:pic>
      <xdr:nvPicPr>
        <xdr:cNvPr id="51" name="Picture 23" descr="rohm_brandmark">
          <a:extLst>
            <a:ext uri="{FF2B5EF4-FFF2-40B4-BE49-F238E27FC236}">
              <a16:creationId xmlns:a16="http://schemas.microsoft.com/office/drawing/2014/main" id="{00000000-0008-0000-0200-00003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a:ext>
          </a:extLst>
        </a:blip>
        <a:srcRect/>
        <a:stretch>
          <a:fillRect/>
        </a:stretch>
      </xdr:blipFill>
      <xdr:spPr bwMode="auto">
        <a:xfrm>
          <a:off x="11953875" y="88900"/>
          <a:ext cx="855138" cy="660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16566</xdr:colOff>
      <xdr:row>50</xdr:row>
      <xdr:rowOff>115548</xdr:rowOff>
    </xdr:from>
    <xdr:to>
      <xdr:col>10</xdr:col>
      <xdr:colOff>354219</xdr:colOff>
      <xdr:row>54</xdr:row>
      <xdr:rowOff>24848</xdr:rowOff>
    </xdr:to>
    <xdr:cxnSp macro="">
      <xdr:nvCxnSpPr>
        <xdr:cNvPr id="22" name="直線矢印コネクタ 4">
          <a:extLst>
            <a:ext uri="{FF2B5EF4-FFF2-40B4-BE49-F238E27FC236}">
              <a16:creationId xmlns:a16="http://schemas.microsoft.com/office/drawing/2014/main" id="{00000000-0008-0000-0200-000016000000}"/>
            </a:ext>
          </a:extLst>
        </xdr:cNvPr>
        <xdr:cNvCxnSpPr>
          <a:endCxn id="52" idx="1"/>
        </xdr:cNvCxnSpPr>
      </xdr:nvCxnSpPr>
      <xdr:spPr>
        <a:xfrm flipV="1">
          <a:off x="10336696" y="8356744"/>
          <a:ext cx="934001" cy="58019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23</xdr:row>
      <xdr:rowOff>41413</xdr:rowOff>
    </xdr:from>
    <xdr:to>
      <xdr:col>11</xdr:col>
      <xdr:colOff>488674</xdr:colOff>
      <xdr:row>24</xdr:row>
      <xdr:rowOff>76200</xdr:rowOff>
    </xdr:to>
    <xdr:cxnSp macro="">
      <xdr:nvCxnSpPr>
        <xdr:cNvPr id="28" name="直線矢印コネクタ 4">
          <a:extLst>
            <a:ext uri="{FF2B5EF4-FFF2-40B4-BE49-F238E27FC236}">
              <a16:creationId xmlns:a16="http://schemas.microsoft.com/office/drawing/2014/main" id="{00000000-0008-0000-0200-00001C000000}"/>
            </a:ext>
          </a:extLst>
        </xdr:cNvPr>
        <xdr:cNvCxnSpPr/>
      </xdr:nvCxnSpPr>
      <xdr:spPr>
        <a:xfrm flipV="1">
          <a:off x="7943022" y="3627783"/>
          <a:ext cx="4058478" cy="22528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1506</xdr:colOff>
      <xdr:row>25</xdr:row>
      <xdr:rowOff>149087</xdr:rowOff>
    </xdr:from>
    <xdr:to>
      <xdr:col>12</xdr:col>
      <xdr:colOff>422413</xdr:colOff>
      <xdr:row>26</xdr:row>
      <xdr:rowOff>85838</xdr:rowOff>
    </xdr:to>
    <xdr:cxnSp macro="">
      <xdr:nvCxnSpPr>
        <xdr:cNvPr id="33" name="直線矢印コネクタ 4">
          <a:extLst>
            <a:ext uri="{FF2B5EF4-FFF2-40B4-BE49-F238E27FC236}">
              <a16:creationId xmlns:a16="http://schemas.microsoft.com/office/drawing/2014/main" id="{00000000-0008-0000-0200-000021000000}"/>
            </a:ext>
          </a:extLst>
        </xdr:cNvPr>
        <xdr:cNvCxnSpPr/>
      </xdr:nvCxnSpPr>
      <xdr:spPr>
        <a:xfrm flipV="1">
          <a:off x="7944528" y="4099891"/>
          <a:ext cx="4587059" cy="11068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654501</xdr:colOff>
      <xdr:row>73</xdr:row>
      <xdr:rowOff>133261</xdr:rowOff>
    </xdr:from>
    <xdr:to>
      <xdr:col>3</xdr:col>
      <xdr:colOff>1092672</xdr:colOff>
      <xdr:row>75</xdr:row>
      <xdr:rowOff>50812</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4" cstate="print"/>
        <a:stretch>
          <a:fillRect/>
        </a:stretch>
      </xdr:blipFill>
      <xdr:spPr>
        <a:xfrm>
          <a:off x="6484956" y="12475352"/>
          <a:ext cx="438171" cy="217732"/>
        </a:xfrm>
        <a:prstGeom prst="rect">
          <a:avLst/>
        </a:prstGeom>
      </xdr:spPr>
    </xdr:pic>
    <xdr:clientData/>
  </xdr:twoCellAnchor>
  <xdr:twoCellAnchor>
    <xdr:from>
      <xdr:col>10</xdr:col>
      <xdr:colOff>354219</xdr:colOff>
      <xdr:row>49</xdr:row>
      <xdr:rowOff>88486</xdr:rowOff>
    </xdr:from>
    <xdr:to>
      <xdr:col>11</xdr:col>
      <xdr:colOff>579092</xdr:colOff>
      <xdr:row>51</xdr:row>
      <xdr:rowOff>142611</xdr:rowOff>
    </xdr:to>
    <xdr:sp macro="" textlink="">
      <xdr:nvSpPr>
        <xdr:cNvPr id="52" name="Rectangle 51">
          <a:extLst>
            <a:ext uri="{FF2B5EF4-FFF2-40B4-BE49-F238E27FC236}">
              <a16:creationId xmlns:a16="http://schemas.microsoft.com/office/drawing/2014/main" id="{00000000-0008-0000-0200-000034000000}"/>
            </a:ext>
          </a:extLst>
        </xdr:cNvPr>
        <xdr:cNvSpPr/>
      </xdr:nvSpPr>
      <xdr:spPr>
        <a:xfrm>
          <a:off x="11270697" y="8155747"/>
          <a:ext cx="821221" cy="401994"/>
        </a:xfrm>
        <a:prstGeom prst="rect">
          <a:avLst/>
        </a:prstGeom>
        <a:no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PH" sz="1100"/>
        </a:p>
      </xdr:txBody>
    </xdr:sp>
    <xdr:clientData/>
  </xdr:twoCellAnchor>
  <xdr:twoCellAnchor>
    <xdr:from>
      <xdr:col>9</xdr:col>
      <xdr:colOff>21771</xdr:colOff>
      <xdr:row>121</xdr:row>
      <xdr:rowOff>87086</xdr:rowOff>
    </xdr:from>
    <xdr:to>
      <xdr:col>15</xdr:col>
      <xdr:colOff>323850</xdr:colOff>
      <xdr:row>122</xdr:row>
      <xdr:rowOff>104775</xdr:rowOff>
    </xdr:to>
    <xdr:cxnSp macro="">
      <xdr:nvCxnSpPr>
        <xdr:cNvPr id="57" name="直線矢印コネクタ 4">
          <a:extLst>
            <a:ext uri="{FF2B5EF4-FFF2-40B4-BE49-F238E27FC236}">
              <a16:creationId xmlns:a16="http://schemas.microsoft.com/office/drawing/2014/main" id="{00000000-0008-0000-0200-000039000000}"/>
            </a:ext>
          </a:extLst>
        </xdr:cNvPr>
        <xdr:cNvCxnSpPr/>
      </xdr:nvCxnSpPr>
      <xdr:spPr>
        <a:xfrm>
          <a:off x="10356396" y="22632761"/>
          <a:ext cx="3902529" cy="18913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382817</xdr:colOff>
      <xdr:row>109</xdr:row>
      <xdr:rowOff>109284</xdr:rowOff>
    </xdr:from>
    <xdr:to>
      <xdr:col>6</xdr:col>
      <xdr:colOff>798287</xdr:colOff>
      <xdr:row>111</xdr:row>
      <xdr:rowOff>36287</xdr:rowOff>
    </xdr:to>
    <xdr:pic>
      <xdr:nvPicPr>
        <xdr:cNvPr id="41" name="図 40">
          <a:extLst>
            <a:ext uri="{FF2B5EF4-FFF2-40B4-BE49-F238E27FC236}">
              <a16:creationId xmlns:a16="http://schemas.microsoft.com/office/drawing/2014/main" id="{00000000-0008-0000-0200-000029000000}"/>
            </a:ext>
          </a:extLst>
        </xdr:cNvPr>
        <xdr:cNvPicPr>
          <a:picLocks noChangeAspect="1"/>
        </xdr:cNvPicPr>
      </xdr:nvPicPr>
      <xdr:blipFill rotWithShape="1">
        <a:blip xmlns:r="http://schemas.openxmlformats.org/officeDocument/2006/relationships" r:embed="rId5"/>
        <a:srcRect r="51534" b="9485"/>
        <a:stretch/>
      </xdr:blipFill>
      <xdr:spPr>
        <a:xfrm>
          <a:off x="8733067" y="18092484"/>
          <a:ext cx="415470" cy="250852"/>
        </a:xfrm>
        <a:prstGeom prst="rect">
          <a:avLst/>
        </a:prstGeom>
      </xdr:spPr>
    </xdr:pic>
    <xdr:clientData/>
  </xdr:twoCellAnchor>
  <xdr:twoCellAnchor editAs="oneCell">
    <xdr:from>
      <xdr:col>2</xdr:col>
      <xdr:colOff>149087</xdr:colOff>
      <xdr:row>37</xdr:row>
      <xdr:rowOff>1</xdr:rowOff>
    </xdr:from>
    <xdr:to>
      <xdr:col>2</xdr:col>
      <xdr:colOff>2068135</xdr:colOff>
      <xdr:row>40</xdr:row>
      <xdr:rowOff>5121</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6"/>
        <a:stretch>
          <a:fillRect/>
        </a:stretch>
      </xdr:blipFill>
      <xdr:spPr>
        <a:xfrm>
          <a:off x="1341783" y="5864088"/>
          <a:ext cx="1919048" cy="452381"/>
        </a:xfrm>
        <a:prstGeom prst="rect">
          <a:avLst/>
        </a:prstGeom>
      </xdr:spPr>
    </xdr:pic>
    <xdr:clientData/>
  </xdr:twoCellAnchor>
  <xdr:twoCellAnchor>
    <xdr:from>
      <xdr:col>6</xdr:col>
      <xdr:colOff>0</xdr:colOff>
      <xdr:row>24</xdr:row>
      <xdr:rowOff>107673</xdr:rowOff>
    </xdr:from>
    <xdr:to>
      <xdr:col>12</xdr:col>
      <xdr:colOff>422413</xdr:colOff>
      <xdr:row>25</xdr:row>
      <xdr:rowOff>110687</xdr:rowOff>
    </xdr:to>
    <xdr:cxnSp macro="">
      <xdr:nvCxnSpPr>
        <xdr:cNvPr id="44" name="直線矢印コネクタ 4">
          <a:extLst>
            <a:ext uri="{FF2B5EF4-FFF2-40B4-BE49-F238E27FC236}">
              <a16:creationId xmlns:a16="http://schemas.microsoft.com/office/drawing/2014/main" id="{00000000-0008-0000-0200-000021000000}"/>
            </a:ext>
          </a:extLst>
        </xdr:cNvPr>
        <xdr:cNvCxnSpPr/>
      </xdr:nvCxnSpPr>
      <xdr:spPr>
        <a:xfrm flipV="1">
          <a:off x="7943022" y="3884543"/>
          <a:ext cx="4588565" cy="17694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173936</xdr:colOff>
      <xdr:row>67</xdr:row>
      <xdr:rowOff>0</xdr:rowOff>
    </xdr:from>
    <xdr:to>
      <xdr:col>2</xdr:col>
      <xdr:colOff>3426317</xdr:colOff>
      <xdr:row>69</xdr:row>
      <xdr:rowOff>130398</xdr:rowOff>
    </xdr:to>
    <xdr:pic>
      <xdr:nvPicPr>
        <xdr:cNvPr id="15" name="Picture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7"/>
        <a:stretch>
          <a:fillRect/>
        </a:stretch>
      </xdr:blipFill>
      <xdr:spPr>
        <a:xfrm>
          <a:off x="1366632" y="11877261"/>
          <a:ext cx="3252381" cy="428572"/>
        </a:xfrm>
        <a:prstGeom prst="rect">
          <a:avLst/>
        </a:prstGeom>
      </xdr:spPr>
    </xdr:pic>
    <xdr:clientData/>
  </xdr:twoCellAnchor>
  <xdr:twoCellAnchor editAs="oneCell">
    <xdr:from>
      <xdr:col>2</xdr:col>
      <xdr:colOff>190500</xdr:colOff>
      <xdr:row>80</xdr:row>
      <xdr:rowOff>1</xdr:rowOff>
    </xdr:from>
    <xdr:to>
      <xdr:col>2</xdr:col>
      <xdr:colOff>3819072</xdr:colOff>
      <xdr:row>82</xdr:row>
      <xdr:rowOff>144684</xdr:rowOff>
    </xdr:to>
    <xdr:pic>
      <xdr:nvPicPr>
        <xdr:cNvPr id="19" name="Picture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8"/>
        <a:stretch>
          <a:fillRect/>
        </a:stretch>
      </xdr:blipFill>
      <xdr:spPr>
        <a:xfrm>
          <a:off x="1383196" y="13840240"/>
          <a:ext cx="3628572" cy="442857"/>
        </a:xfrm>
        <a:prstGeom prst="rect">
          <a:avLst/>
        </a:prstGeom>
      </xdr:spPr>
    </xdr:pic>
    <xdr:clientData/>
  </xdr:twoCellAnchor>
  <xdr:twoCellAnchor editAs="oneCell">
    <xdr:from>
      <xdr:col>2</xdr:col>
      <xdr:colOff>207065</xdr:colOff>
      <xdr:row>90</xdr:row>
      <xdr:rowOff>1</xdr:rowOff>
    </xdr:from>
    <xdr:to>
      <xdr:col>2</xdr:col>
      <xdr:colOff>3107065</xdr:colOff>
      <xdr:row>93</xdr:row>
      <xdr:rowOff>5121</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9"/>
        <a:stretch>
          <a:fillRect/>
        </a:stretch>
      </xdr:blipFill>
      <xdr:spPr>
        <a:xfrm>
          <a:off x="1399761" y="15405653"/>
          <a:ext cx="2900000" cy="452381"/>
        </a:xfrm>
        <a:prstGeom prst="rect">
          <a:avLst/>
        </a:prstGeom>
      </xdr:spPr>
    </xdr:pic>
    <xdr:clientData/>
  </xdr:twoCellAnchor>
  <xdr:twoCellAnchor editAs="oneCell">
    <xdr:from>
      <xdr:col>2</xdr:col>
      <xdr:colOff>207065</xdr:colOff>
      <xdr:row>94</xdr:row>
      <xdr:rowOff>0</xdr:rowOff>
    </xdr:from>
    <xdr:to>
      <xdr:col>2</xdr:col>
      <xdr:colOff>3011827</xdr:colOff>
      <xdr:row>96</xdr:row>
      <xdr:rowOff>82779</xdr:rowOff>
    </xdr:to>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0"/>
        <a:stretch>
          <a:fillRect/>
        </a:stretch>
      </xdr:blipFill>
      <xdr:spPr>
        <a:xfrm>
          <a:off x="1399761" y="16002000"/>
          <a:ext cx="2804762" cy="380953"/>
        </a:xfrm>
        <a:prstGeom prst="rect">
          <a:avLst/>
        </a:prstGeom>
      </xdr:spPr>
    </xdr:pic>
    <xdr:clientData/>
  </xdr:twoCellAnchor>
  <xdr:twoCellAnchor editAs="oneCell">
    <xdr:from>
      <xdr:col>2</xdr:col>
      <xdr:colOff>2194891</xdr:colOff>
      <xdr:row>97</xdr:row>
      <xdr:rowOff>57979</xdr:rowOff>
    </xdr:from>
    <xdr:to>
      <xdr:col>7</xdr:col>
      <xdr:colOff>46929</xdr:colOff>
      <xdr:row>98</xdr:row>
      <xdr:rowOff>66036</xdr:rowOff>
    </xdr:to>
    <xdr:pic>
      <xdr:nvPicPr>
        <xdr:cNvPr id="23" name="Picture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1"/>
        <a:stretch>
          <a:fillRect/>
        </a:stretch>
      </xdr:blipFill>
      <xdr:spPr>
        <a:xfrm>
          <a:off x="3387587" y="16532088"/>
          <a:ext cx="5571429" cy="157143"/>
        </a:xfrm>
        <a:prstGeom prst="rect">
          <a:avLst/>
        </a:prstGeom>
      </xdr:spPr>
    </xdr:pic>
    <xdr:clientData/>
  </xdr:twoCellAnchor>
  <xdr:twoCellAnchor editAs="oneCell">
    <xdr:from>
      <xdr:col>2</xdr:col>
      <xdr:colOff>165652</xdr:colOff>
      <xdr:row>104</xdr:row>
      <xdr:rowOff>0</xdr:rowOff>
    </xdr:from>
    <xdr:to>
      <xdr:col>2</xdr:col>
      <xdr:colOff>3418033</xdr:colOff>
      <xdr:row>106</xdr:row>
      <xdr:rowOff>97268</xdr:rowOff>
    </xdr:to>
    <xdr:pic>
      <xdr:nvPicPr>
        <xdr:cNvPr id="58" name="Picture 57">
          <a:extLst>
            <a:ext uri="{FF2B5EF4-FFF2-40B4-BE49-F238E27FC236}">
              <a16:creationId xmlns:a16="http://schemas.microsoft.com/office/drawing/2014/main" id="{00000000-0008-0000-0200-00003A000000}"/>
            </a:ext>
          </a:extLst>
        </xdr:cNvPr>
        <xdr:cNvPicPr>
          <a:picLocks noChangeAspect="1"/>
        </xdr:cNvPicPr>
      </xdr:nvPicPr>
      <xdr:blipFill>
        <a:blip xmlns:r="http://schemas.openxmlformats.org/officeDocument/2006/relationships" r:embed="rId7"/>
        <a:stretch>
          <a:fillRect/>
        </a:stretch>
      </xdr:blipFill>
      <xdr:spPr>
        <a:xfrm>
          <a:off x="1358348" y="17592261"/>
          <a:ext cx="3252381" cy="428572"/>
        </a:xfrm>
        <a:prstGeom prst="rect">
          <a:avLst/>
        </a:prstGeom>
      </xdr:spPr>
    </xdr:pic>
    <xdr:clientData/>
  </xdr:twoCellAnchor>
  <xdr:twoCellAnchor editAs="oneCell">
    <xdr:from>
      <xdr:col>2</xdr:col>
      <xdr:colOff>180975</xdr:colOff>
      <xdr:row>109</xdr:row>
      <xdr:rowOff>0</xdr:rowOff>
    </xdr:from>
    <xdr:to>
      <xdr:col>2</xdr:col>
      <xdr:colOff>3952404</xdr:colOff>
      <xdr:row>112</xdr:row>
      <xdr:rowOff>109463</xdr:rowOff>
    </xdr:to>
    <xdr:pic>
      <xdr:nvPicPr>
        <xdr:cNvPr id="24" name="Picture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12"/>
        <a:stretch>
          <a:fillRect/>
        </a:stretch>
      </xdr:blipFill>
      <xdr:spPr>
        <a:xfrm>
          <a:off x="1381125" y="18545175"/>
          <a:ext cx="3771429" cy="595238"/>
        </a:xfrm>
        <a:prstGeom prst="rect">
          <a:avLst/>
        </a:prstGeom>
      </xdr:spPr>
    </xdr:pic>
    <xdr:clientData/>
  </xdr:twoCellAnchor>
  <xdr:twoCellAnchor editAs="oneCell">
    <xdr:from>
      <xdr:col>2</xdr:col>
      <xdr:colOff>212272</xdr:colOff>
      <xdr:row>130</xdr:row>
      <xdr:rowOff>152400</xdr:rowOff>
    </xdr:from>
    <xdr:to>
      <xdr:col>2</xdr:col>
      <xdr:colOff>2174177</xdr:colOff>
      <xdr:row>133</xdr:row>
      <xdr:rowOff>123772</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3"/>
        <a:stretch>
          <a:fillRect/>
        </a:stretch>
      </xdr:blipFill>
      <xdr:spPr>
        <a:xfrm>
          <a:off x="1409701" y="23567571"/>
          <a:ext cx="1961905" cy="428572"/>
        </a:xfrm>
        <a:prstGeom prst="rect">
          <a:avLst/>
        </a:prstGeom>
      </xdr:spPr>
    </xdr:pic>
    <xdr:clientData/>
  </xdr:twoCellAnchor>
  <xdr:twoCellAnchor editAs="oneCell">
    <xdr:from>
      <xdr:col>3</xdr:col>
      <xdr:colOff>145596</xdr:colOff>
      <xdr:row>130</xdr:row>
      <xdr:rowOff>114300</xdr:rowOff>
    </xdr:from>
    <xdr:to>
      <xdr:col>3</xdr:col>
      <xdr:colOff>1078930</xdr:colOff>
      <xdr:row>132</xdr:row>
      <xdr:rowOff>76167</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4"/>
        <a:stretch>
          <a:fillRect/>
        </a:stretch>
      </xdr:blipFill>
      <xdr:spPr>
        <a:xfrm>
          <a:off x="5717721" y="21812250"/>
          <a:ext cx="933334" cy="266667"/>
        </a:xfrm>
        <a:prstGeom prst="rect">
          <a:avLst/>
        </a:prstGeom>
      </xdr:spPr>
    </xdr:pic>
    <xdr:clientData/>
  </xdr:twoCellAnchor>
  <xdr:twoCellAnchor editAs="oneCell">
    <xdr:from>
      <xdr:col>3</xdr:col>
      <xdr:colOff>70759</xdr:colOff>
      <xdr:row>127</xdr:row>
      <xdr:rowOff>0</xdr:rowOff>
    </xdr:from>
    <xdr:to>
      <xdr:col>3</xdr:col>
      <xdr:colOff>723140</xdr:colOff>
      <xdr:row>128</xdr:row>
      <xdr:rowOff>57124</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5"/>
        <a:stretch>
          <a:fillRect/>
        </a:stretch>
      </xdr:blipFill>
      <xdr:spPr>
        <a:xfrm>
          <a:off x="5642884" y="21240750"/>
          <a:ext cx="652381" cy="209524"/>
        </a:xfrm>
        <a:prstGeom prst="rect">
          <a:avLst/>
        </a:prstGeom>
      </xdr:spPr>
    </xdr:pic>
    <xdr:clientData/>
  </xdr:twoCellAnchor>
  <xdr:oneCellAnchor>
    <xdr:from>
      <xdr:col>3</xdr:col>
      <xdr:colOff>51709</xdr:colOff>
      <xdr:row>129</xdr:row>
      <xdr:rowOff>9525</xdr:rowOff>
    </xdr:from>
    <xdr:ext cx="652381" cy="209524"/>
    <xdr:pic>
      <xdr:nvPicPr>
        <xdr:cNvPr id="45" name="Picture 44">
          <a:extLst>
            <a:ext uri="{FF2B5EF4-FFF2-40B4-BE49-F238E27FC236}">
              <a16:creationId xmlns:a16="http://schemas.microsoft.com/office/drawing/2014/main" id="{00000000-0008-0000-0200-00002D000000}"/>
            </a:ext>
          </a:extLst>
        </xdr:cNvPr>
        <xdr:cNvPicPr>
          <a:picLocks noChangeAspect="1"/>
        </xdr:cNvPicPr>
      </xdr:nvPicPr>
      <xdr:blipFill>
        <a:blip xmlns:r="http://schemas.openxmlformats.org/officeDocument/2006/relationships" r:embed="rId15"/>
        <a:stretch>
          <a:fillRect/>
        </a:stretch>
      </xdr:blipFill>
      <xdr:spPr>
        <a:xfrm>
          <a:off x="5623834" y="21555075"/>
          <a:ext cx="652381" cy="209524"/>
        </a:xfrm>
        <a:prstGeom prst="rect">
          <a:avLst/>
        </a:prstGeom>
      </xdr:spPr>
    </xdr:pic>
    <xdr:clientData/>
  </xdr:oneCellAnchor>
  <xdr:twoCellAnchor editAs="oneCell">
    <xdr:from>
      <xdr:col>2</xdr:col>
      <xdr:colOff>228600</xdr:colOff>
      <xdr:row>127</xdr:row>
      <xdr:rowOff>0</xdr:rowOff>
    </xdr:from>
    <xdr:to>
      <xdr:col>2</xdr:col>
      <xdr:colOff>2204791</xdr:colOff>
      <xdr:row>129</xdr:row>
      <xdr:rowOff>128534</xdr:rowOff>
    </xdr:to>
    <xdr:pic>
      <xdr:nvPicPr>
        <xdr:cNvPr id="48" name="Picture 47">
          <a:extLst>
            <a:ext uri="{FF2B5EF4-FFF2-40B4-BE49-F238E27FC236}">
              <a16:creationId xmlns:a16="http://schemas.microsoft.com/office/drawing/2014/main" id="{00000000-0008-0000-0200-000030000000}"/>
            </a:ext>
          </a:extLst>
        </xdr:cNvPr>
        <xdr:cNvPicPr>
          <a:picLocks/>
        </xdr:cNvPicPr>
      </xdr:nvPicPr>
      <xdr:blipFill>
        <a:blip xmlns:r="http://schemas.openxmlformats.org/officeDocument/2006/relationships" r:embed="rId16"/>
        <a:stretch>
          <a:fillRect/>
        </a:stretch>
      </xdr:blipFill>
      <xdr:spPr>
        <a:xfrm>
          <a:off x="1426029" y="23763514"/>
          <a:ext cx="1976191" cy="433334"/>
        </a:xfrm>
        <a:prstGeom prst="rect">
          <a:avLst/>
        </a:prstGeom>
      </xdr:spPr>
    </xdr:pic>
    <xdr:clientData/>
  </xdr:twoCellAnchor>
  <xdr:twoCellAnchor editAs="oneCell">
    <xdr:from>
      <xdr:col>2</xdr:col>
      <xdr:colOff>2362200</xdr:colOff>
      <xdr:row>154</xdr:row>
      <xdr:rowOff>180976</xdr:rowOff>
    </xdr:from>
    <xdr:to>
      <xdr:col>3</xdr:col>
      <xdr:colOff>971178</xdr:colOff>
      <xdr:row>156</xdr:row>
      <xdr:rowOff>123771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7"/>
        <a:stretch>
          <a:fillRect/>
        </a:stretch>
      </xdr:blipFill>
      <xdr:spPr>
        <a:xfrm>
          <a:off x="3562350" y="25965151"/>
          <a:ext cx="2980953" cy="438095"/>
        </a:xfrm>
        <a:prstGeom prst="rect">
          <a:avLst/>
        </a:prstGeom>
      </xdr:spPr>
    </xdr:pic>
    <xdr:clientData/>
  </xdr:twoCellAnchor>
  <xdr:twoCellAnchor editAs="oneCell">
    <xdr:from>
      <xdr:col>2</xdr:col>
      <xdr:colOff>3133725</xdr:colOff>
      <xdr:row>161</xdr:row>
      <xdr:rowOff>133350</xdr:rowOff>
    </xdr:from>
    <xdr:to>
      <xdr:col>3</xdr:col>
      <xdr:colOff>971274</xdr:colOff>
      <xdr:row>163</xdr:row>
      <xdr:rowOff>57098</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8"/>
        <a:stretch>
          <a:fillRect/>
        </a:stretch>
      </xdr:blipFill>
      <xdr:spPr>
        <a:xfrm>
          <a:off x="4333875" y="27270075"/>
          <a:ext cx="2209524" cy="419048"/>
        </a:xfrm>
        <a:prstGeom prst="rect">
          <a:avLst/>
        </a:prstGeom>
      </xdr:spPr>
    </xdr:pic>
    <xdr:clientData/>
  </xdr:twoCellAnchor>
  <xdr:twoCellAnchor editAs="oneCell">
    <xdr:from>
      <xdr:col>10</xdr:col>
      <xdr:colOff>0</xdr:colOff>
      <xdr:row>138</xdr:row>
      <xdr:rowOff>0</xdr:rowOff>
    </xdr:from>
    <xdr:to>
      <xdr:col>17</xdr:col>
      <xdr:colOff>494517</xdr:colOff>
      <xdr:row>148</xdr:row>
      <xdr:rowOff>112089</xdr:rowOff>
    </xdr:to>
    <xdr:pic>
      <xdr:nvPicPr>
        <xdr:cNvPr id="42" name="Picture 41">
          <a:extLst>
            <a:ext uri="{FF2B5EF4-FFF2-40B4-BE49-F238E27FC236}">
              <a16:creationId xmlns:a16="http://schemas.microsoft.com/office/drawing/2014/main" id="{00000000-0008-0000-0200-00002A000000}"/>
            </a:ext>
          </a:extLst>
        </xdr:cNvPr>
        <xdr:cNvPicPr>
          <a:picLocks noChangeAspect="1"/>
        </xdr:cNvPicPr>
      </xdr:nvPicPr>
      <xdr:blipFill>
        <a:blip xmlns:r="http://schemas.openxmlformats.org/officeDocument/2006/relationships" r:embed="rId1"/>
        <a:stretch>
          <a:fillRect/>
        </a:stretch>
      </xdr:blipFill>
      <xdr:spPr>
        <a:xfrm>
          <a:off x="10934700" y="22860000"/>
          <a:ext cx="4695042" cy="2036139"/>
        </a:xfrm>
        <a:prstGeom prst="rect">
          <a:avLst/>
        </a:prstGeom>
        <a:ln>
          <a:solidFill>
            <a:schemeClr val="tx1"/>
          </a:solidFill>
        </a:ln>
      </xdr:spPr>
    </xdr:pic>
    <xdr:clientData/>
  </xdr:twoCellAnchor>
  <xdr:twoCellAnchor>
    <xdr:from>
      <xdr:col>12</xdr:col>
      <xdr:colOff>209550</xdr:colOff>
      <xdr:row>142</xdr:row>
      <xdr:rowOff>133350</xdr:rowOff>
    </xdr:from>
    <xdr:to>
      <xdr:col>13</xdr:col>
      <xdr:colOff>466725</xdr:colOff>
      <xdr:row>143</xdr:row>
      <xdr:rowOff>161925</xdr:rowOff>
    </xdr:to>
    <xdr:sp macro="" textlink="">
      <xdr:nvSpPr>
        <xdr:cNvPr id="43" name="Rectangle 42">
          <a:extLst>
            <a:ext uri="{FF2B5EF4-FFF2-40B4-BE49-F238E27FC236}">
              <a16:creationId xmlns:a16="http://schemas.microsoft.com/office/drawing/2014/main" id="{00000000-0008-0000-0200-000034000000}"/>
            </a:ext>
          </a:extLst>
        </xdr:cNvPr>
        <xdr:cNvSpPr/>
      </xdr:nvSpPr>
      <xdr:spPr>
        <a:xfrm>
          <a:off x="12344400" y="23774400"/>
          <a:ext cx="857250" cy="200025"/>
        </a:xfrm>
        <a:prstGeom prst="rect">
          <a:avLst/>
        </a:prstGeom>
        <a:no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PH" sz="1100"/>
        </a:p>
      </xdr:txBody>
    </xdr:sp>
    <xdr:clientData/>
  </xdr:twoCellAnchor>
  <xdr:twoCellAnchor>
    <xdr:from>
      <xdr:col>13</xdr:col>
      <xdr:colOff>38100</xdr:colOff>
      <xdr:row>143</xdr:row>
      <xdr:rowOff>161925</xdr:rowOff>
    </xdr:from>
    <xdr:to>
      <xdr:col>13</xdr:col>
      <xdr:colOff>276225</xdr:colOff>
      <xdr:row>153</xdr:row>
      <xdr:rowOff>133350</xdr:rowOff>
    </xdr:to>
    <xdr:cxnSp macro="">
      <xdr:nvCxnSpPr>
        <xdr:cNvPr id="38" name="直線矢印コネクタ 4">
          <a:extLst>
            <a:ext uri="{FF2B5EF4-FFF2-40B4-BE49-F238E27FC236}">
              <a16:creationId xmlns:a16="http://schemas.microsoft.com/office/drawing/2014/main" id="{00000000-0008-0000-0200-000039000000}"/>
            </a:ext>
          </a:extLst>
        </xdr:cNvPr>
        <xdr:cNvCxnSpPr>
          <a:endCxn id="43" idx="2"/>
        </xdr:cNvCxnSpPr>
      </xdr:nvCxnSpPr>
      <xdr:spPr>
        <a:xfrm flipH="1" flipV="1">
          <a:off x="12773025" y="23974425"/>
          <a:ext cx="238125" cy="17621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561974</xdr:colOff>
      <xdr:row>38</xdr:row>
      <xdr:rowOff>0</xdr:rowOff>
    </xdr:from>
    <xdr:to>
      <xdr:col>3</xdr:col>
      <xdr:colOff>1095308</xdr:colOff>
      <xdr:row>39</xdr:row>
      <xdr:rowOff>52362</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19"/>
        <a:stretch>
          <a:fillRect/>
        </a:stretch>
      </xdr:blipFill>
      <xdr:spPr>
        <a:xfrm>
          <a:off x="6134099" y="6248400"/>
          <a:ext cx="533334" cy="204762"/>
        </a:xfrm>
        <a:prstGeom prst="rect">
          <a:avLst/>
        </a:prstGeom>
      </xdr:spPr>
    </xdr:pic>
    <xdr:clientData/>
  </xdr:twoCellAnchor>
  <xdr:twoCellAnchor editAs="oneCell">
    <xdr:from>
      <xdr:col>3</xdr:col>
      <xdr:colOff>666750</xdr:colOff>
      <xdr:row>68</xdr:row>
      <xdr:rowOff>0</xdr:rowOff>
    </xdr:from>
    <xdr:to>
      <xdr:col>3</xdr:col>
      <xdr:colOff>1090560</xdr:colOff>
      <xdr:row>69</xdr:row>
      <xdr:rowOff>57124</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0"/>
        <a:stretch>
          <a:fillRect/>
        </a:stretch>
      </xdr:blipFill>
      <xdr:spPr>
        <a:xfrm>
          <a:off x="6238875" y="11582400"/>
          <a:ext cx="423810" cy="209524"/>
        </a:xfrm>
        <a:prstGeom prst="rect">
          <a:avLst/>
        </a:prstGeom>
      </xdr:spPr>
    </xdr:pic>
    <xdr:clientData/>
  </xdr:twoCellAnchor>
  <xdr:twoCellAnchor editAs="oneCell">
    <xdr:from>
      <xdr:col>3</xdr:col>
      <xdr:colOff>476250</xdr:colOff>
      <xdr:row>81</xdr:row>
      <xdr:rowOff>0</xdr:rowOff>
    </xdr:from>
    <xdr:to>
      <xdr:col>3</xdr:col>
      <xdr:colOff>1081012</xdr:colOff>
      <xdr:row>82</xdr:row>
      <xdr:rowOff>47600</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21"/>
        <a:stretch>
          <a:fillRect/>
        </a:stretch>
      </xdr:blipFill>
      <xdr:spPr>
        <a:xfrm>
          <a:off x="6048375" y="13601700"/>
          <a:ext cx="604762" cy="200000"/>
        </a:xfrm>
        <a:prstGeom prst="rect">
          <a:avLst/>
        </a:prstGeom>
      </xdr:spPr>
    </xdr:pic>
    <xdr:clientData/>
  </xdr:twoCellAnchor>
  <xdr:twoCellAnchor editAs="oneCell">
    <xdr:from>
      <xdr:col>3</xdr:col>
      <xdr:colOff>333376</xdr:colOff>
      <xdr:row>96</xdr:row>
      <xdr:rowOff>0</xdr:rowOff>
    </xdr:from>
    <xdr:to>
      <xdr:col>3</xdr:col>
      <xdr:colOff>1085757</xdr:colOff>
      <xdr:row>97</xdr:row>
      <xdr:rowOff>47600</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22"/>
        <a:stretch>
          <a:fillRect/>
        </a:stretch>
      </xdr:blipFill>
      <xdr:spPr>
        <a:xfrm>
          <a:off x="5905501" y="15944850"/>
          <a:ext cx="752381" cy="200000"/>
        </a:xfrm>
        <a:prstGeom prst="rect">
          <a:avLst/>
        </a:prstGeom>
      </xdr:spPr>
    </xdr:pic>
    <xdr:clientData/>
  </xdr:twoCellAnchor>
  <xdr:twoCellAnchor editAs="oneCell">
    <xdr:from>
      <xdr:col>3</xdr:col>
      <xdr:colOff>600075</xdr:colOff>
      <xdr:row>90</xdr:row>
      <xdr:rowOff>0</xdr:rowOff>
    </xdr:from>
    <xdr:to>
      <xdr:col>3</xdr:col>
      <xdr:colOff>1085790</xdr:colOff>
      <xdr:row>91</xdr:row>
      <xdr:rowOff>33315</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23"/>
        <a:stretch>
          <a:fillRect/>
        </a:stretch>
      </xdr:blipFill>
      <xdr:spPr>
        <a:xfrm>
          <a:off x="6172200" y="15030450"/>
          <a:ext cx="485715" cy="185715"/>
        </a:xfrm>
        <a:prstGeom prst="rect">
          <a:avLst/>
        </a:prstGeom>
      </xdr:spPr>
    </xdr:pic>
    <xdr:clientData/>
  </xdr:twoCellAnchor>
  <xdr:twoCellAnchor editAs="oneCell">
    <xdr:from>
      <xdr:col>3</xdr:col>
      <xdr:colOff>0</xdr:colOff>
      <xdr:row>110</xdr:row>
      <xdr:rowOff>0</xdr:rowOff>
    </xdr:from>
    <xdr:to>
      <xdr:col>4</xdr:col>
      <xdr:colOff>9386</xdr:colOff>
      <xdr:row>111</xdr:row>
      <xdr:rowOff>28549</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24"/>
        <a:stretch>
          <a:fillRect/>
        </a:stretch>
      </xdr:blipFill>
      <xdr:spPr>
        <a:xfrm>
          <a:off x="5572125" y="18164175"/>
          <a:ext cx="1114286" cy="209524"/>
        </a:xfrm>
        <a:prstGeom prst="rect">
          <a:avLst/>
        </a:prstGeom>
      </xdr:spPr>
    </xdr:pic>
    <xdr:clientData/>
  </xdr:twoCellAnchor>
  <xdr:twoCellAnchor editAs="oneCell">
    <xdr:from>
      <xdr:col>3</xdr:col>
      <xdr:colOff>323851</xdr:colOff>
      <xdr:row>105</xdr:row>
      <xdr:rowOff>0</xdr:rowOff>
    </xdr:from>
    <xdr:to>
      <xdr:col>3</xdr:col>
      <xdr:colOff>566708</xdr:colOff>
      <xdr:row>106</xdr:row>
      <xdr:rowOff>9501</xdr:rowOff>
    </xdr:to>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25"/>
        <a:stretch>
          <a:fillRect/>
        </a:stretch>
      </xdr:blipFill>
      <xdr:spPr>
        <a:xfrm>
          <a:off x="5895976" y="17354550"/>
          <a:ext cx="242857" cy="1904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276225</xdr:colOff>
      <xdr:row>0</xdr:row>
      <xdr:rowOff>88900</xdr:rowOff>
    </xdr:from>
    <xdr:to>
      <xdr:col>22</xdr:col>
      <xdr:colOff>451914</xdr:colOff>
      <xdr:row>3</xdr:row>
      <xdr:rowOff>33317</xdr:rowOff>
    </xdr:to>
    <xdr:pic>
      <xdr:nvPicPr>
        <xdr:cNvPr id="3" name="Picture 23" descr="rohm_brandmark">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5230475" y="88900"/>
          <a:ext cx="858313" cy="660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314325</xdr:colOff>
      <xdr:row>11</xdr:row>
      <xdr:rowOff>0</xdr:rowOff>
    </xdr:from>
    <xdr:to>
      <xdr:col>22</xdr:col>
      <xdr:colOff>279214</xdr:colOff>
      <xdr:row>28</xdr:row>
      <xdr:rowOff>102986</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9172575" y="1847850"/>
          <a:ext cx="6565714" cy="2884286"/>
        </a:xfrm>
        <a:prstGeom prst="rect">
          <a:avLst/>
        </a:prstGeom>
        <a:ln>
          <a:solidFill>
            <a:schemeClr val="tx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rohm.com/document-link/calculation-sheet?url=/products/power-management/switching-regulators/integrated-fet/buck-converters-nonsynchronous/bd9g500efj-la-product" TargetMode="External"/><Relationship Id="rId1" Type="http://schemas.openxmlformats.org/officeDocument/2006/relationships/hyperlink" Target="https://www.rohm.com/document-link/calculation-sheet?url=/products/power-management/switching-regulators/integrated-fet/buck-converters-synchronous/bd9p105muf-c-product"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1"/>
  <sheetViews>
    <sheetView showGridLines="0" showRuler="0" topLeftCell="A79" zoomScaleNormal="100" zoomScaleSheetLayoutView="100" zoomScalePageLayoutView="145" workbookViewId="0"/>
  </sheetViews>
  <sheetFormatPr baseColWidth="10" defaultColWidth="7.85546875" defaultRowHeight="12"/>
  <cols>
    <col min="1" max="1" width="2" style="1" customWidth="1"/>
    <col min="2" max="18" width="7.85546875" style="1"/>
    <col min="19" max="19" width="12.28515625" style="1" customWidth="1"/>
    <col min="20" max="16384" width="7.85546875" style="1"/>
  </cols>
  <sheetData>
    <row r="1" spans="1:19">
      <c r="A1" s="121"/>
      <c r="B1" s="121"/>
      <c r="C1" s="121"/>
      <c r="D1" s="121"/>
      <c r="E1" s="121"/>
      <c r="F1" s="121"/>
      <c r="G1" s="121"/>
      <c r="H1" s="121"/>
      <c r="I1" s="121"/>
      <c r="J1" s="121"/>
      <c r="K1" s="121"/>
      <c r="L1" s="121"/>
      <c r="M1" s="121"/>
      <c r="N1" s="121"/>
      <c r="O1" s="121"/>
      <c r="P1" s="121"/>
      <c r="Q1" s="121"/>
      <c r="R1" s="122"/>
      <c r="S1" s="122" t="s">
        <v>351</v>
      </c>
    </row>
    <row r="2" spans="1:19">
      <c r="A2" s="121"/>
      <c r="B2" s="121" t="s">
        <v>124</v>
      </c>
      <c r="C2" s="121"/>
      <c r="D2" s="121"/>
      <c r="E2" s="121"/>
      <c r="F2" s="121"/>
      <c r="G2" s="121"/>
      <c r="H2" s="121"/>
      <c r="I2" s="121"/>
      <c r="J2" s="121"/>
      <c r="K2" s="121"/>
      <c r="L2" s="121"/>
      <c r="M2" s="121"/>
      <c r="N2" s="121"/>
      <c r="O2" s="121"/>
      <c r="P2" s="121"/>
      <c r="Q2" s="121"/>
      <c r="R2" s="121"/>
      <c r="S2" s="123">
        <v>20200319</v>
      </c>
    </row>
    <row r="3" spans="1:19">
      <c r="A3" s="121"/>
      <c r="B3" s="121" t="s">
        <v>155</v>
      </c>
      <c r="C3" s="121"/>
      <c r="D3" s="121"/>
      <c r="E3" s="121"/>
      <c r="F3" s="121"/>
      <c r="G3" s="121"/>
      <c r="H3" s="121"/>
      <c r="I3" s="121"/>
      <c r="J3" s="121"/>
      <c r="K3" s="121"/>
      <c r="L3" s="121"/>
      <c r="M3" s="121"/>
      <c r="N3" s="121"/>
      <c r="O3" s="121"/>
      <c r="P3" s="121"/>
      <c r="Q3" s="121"/>
      <c r="R3" s="121"/>
      <c r="S3" s="121"/>
    </row>
    <row r="4" spans="1:19">
      <c r="A4" s="121"/>
      <c r="B4" s="121" t="s">
        <v>49</v>
      </c>
      <c r="C4" s="121"/>
      <c r="D4" s="121"/>
      <c r="E4" s="121"/>
      <c r="F4" s="121"/>
      <c r="G4" s="121"/>
      <c r="H4" s="121"/>
      <c r="I4" s="121"/>
      <c r="J4" s="121"/>
      <c r="K4" s="121"/>
      <c r="L4" s="121"/>
      <c r="M4" s="121"/>
      <c r="N4" s="121"/>
      <c r="O4" s="121"/>
      <c r="P4" s="121"/>
      <c r="Q4" s="121"/>
      <c r="R4" s="121"/>
      <c r="S4" s="121"/>
    </row>
    <row r="5" spans="1:19">
      <c r="A5" s="121"/>
      <c r="B5" s="121" t="s">
        <v>156</v>
      </c>
      <c r="C5" s="121"/>
      <c r="D5" s="121"/>
      <c r="E5" s="121"/>
      <c r="F5" s="121"/>
      <c r="G5" s="121"/>
      <c r="H5" s="121"/>
      <c r="I5" s="121"/>
      <c r="J5" s="121"/>
      <c r="K5" s="121"/>
      <c r="L5" s="121"/>
      <c r="M5" s="121"/>
      <c r="N5" s="121"/>
      <c r="O5" s="121"/>
      <c r="P5" s="121"/>
      <c r="Q5" s="121"/>
      <c r="R5" s="121"/>
      <c r="S5" s="121"/>
    </row>
    <row r="6" spans="1:19">
      <c r="A6" s="121"/>
      <c r="B6" s="121"/>
      <c r="C6" s="121"/>
      <c r="D6" s="121"/>
      <c r="E6" s="121"/>
      <c r="F6" s="121"/>
      <c r="G6" s="121"/>
      <c r="H6" s="121"/>
      <c r="I6" s="121"/>
      <c r="J6" s="121"/>
      <c r="K6" s="121"/>
      <c r="L6" s="121"/>
      <c r="M6" s="121"/>
      <c r="N6" s="121"/>
      <c r="O6" s="121"/>
      <c r="P6" s="121"/>
      <c r="Q6" s="121"/>
      <c r="R6" s="121"/>
      <c r="S6" s="121"/>
    </row>
    <row r="7" spans="1:19">
      <c r="A7" s="121"/>
      <c r="B7" s="121" t="s">
        <v>50</v>
      </c>
      <c r="C7" s="121"/>
      <c r="D7" s="121"/>
      <c r="E7" s="121"/>
      <c r="F7" s="121"/>
      <c r="G7" s="121"/>
      <c r="H7" s="121"/>
      <c r="I7" s="121"/>
      <c r="J7" s="121"/>
      <c r="K7" s="121"/>
      <c r="L7" s="121"/>
      <c r="M7" s="121"/>
      <c r="N7" s="121"/>
      <c r="O7" s="121"/>
      <c r="P7" s="121"/>
      <c r="Q7" s="121"/>
      <c r="R7" s="121"/>
      <c r="S7" s="121"/>
    </row>
    <row r="8" spans="1:19">
      <c r="A8" s="121"/>
      <c r="B8" s="121"/>
      <c r="C8" s="121"/>
      <c r="D8" s="121"/>
      <c r="E8" s="121"/>
      <c r="F8" s="121"/>
      <c r="G8" s="121"/>
      <c r="H8" s="121"/>
      <c r="I8" s="121"/>
      <c r="J8" s="121"/>
      <c r="K8" s="121"/>
      <c r="L8" s="121"/>
      <c r="M8" s="121"/>
      <c r="N8" s="121"/>
      <c r="O8" s="121"/>
      <c r="P8" s="121"/>
      <c r="Q8" s="121"/>
      <c r="R8" s="121"/>
      <c r="S8" s="121"/>
    </row>
    <row r="9" spans="1:19">
      <c r="A9" s="121"/>
      <c r="B9" s="121" t="s">
        <v>125</v>
      </c>
      <c r="C9" s="121"/>
      <c r="D9" s="121"/>
      <c r="E9" s="121"/>
      <c r="F9" s="121"/>
      <c r="G9" s="121"/>
      <c r="H9" s="121"/>
      <c r="I9" s="121"/>
      <c r="J9" s="121"/>
      <c r="K9" s="121"/>
      <c r="L9" s="121"/>
      <c r="M9" s="121"/>
      <c r="N9" s="121"/>
      <c r="O9" s="121"/>
      <c r="P9" s="121"/>
      <c r="Q9" s="121"/>
      <c r="R9" s="121"/>
      <c r="S9" s="121"/>
    </row>
    <row r="10" spans="1:19">
      <c r="A10" s="121"/>
      <c r="B10" s="121"/>
      <c r="C10" s="121"/>
      <c r="D10" s="121"/>
      <c r="E10" s="121"/>
      <c r="F10" s="121"/>
      <c r="G10" s="121"/>
      <c r="H10" s="121"/>
      <c r="I10" s="121"/>
      <c r="J10" s="121"/>
      <c r="K10" s="121"/>
      <c r="L10" s="121"/>
      <c r="M10" s="121"/>
      <c r="N10" s="121"/>
      <c r="O10" s="121"/>
      <c r="P10" s="121"/>
      <c r="Q10" s="121"/>
      <c r="R10" s="121"/>
      <c r="S10" s="121"/>
    </row>
    <row r="11" spans="1:19" ht="15">
      <c r="A11" s="121"/>
      <c r="B11" s="121" t="s">
        <v>157</v>
      </c>
      <c r="C11" s="121"/>
      <c r="D11" s="121"/>
      <c r="E11" s="121"/>
      <c r="F11" s="121"/>
      <c r="G11" s="121"/>
      <c r="H11" s="121"/>
      <c r="I11" s="121"/>
      <c r="J11" s="121"/>
      <c r="K11" s="121"/>
      <c r="L11" s="121"/>
      <c r="M11" s="121"/>
      <c r="N11" s="121"/>
      <c r="O11" s="121"/>
      <c r="P11" s="121"/>
      <c r="Q11" s="121"/>
      <c r="R11" s="121"/>
      <c r="S11" s="121"/>
    </row>
    <row r="12" spans="1:19">
      <c r="A12" s="121"/>
      <c r="B12" s="121" t="s">
        <v>126</v>
      </c>
      <c r="C12" s="121"/>
      <c r="D12" s="121"/>
      <c r="E12" s="121"/>
      <c r="F12" s="121"/>
      <c r="G12" s="121"/>
      <c r="H12" s="121"/>
      <c r="I12" s="121"/>
      <c r="J12" s="121"/>
      <c r="K12" s="121"/>
      <c r="L12" s="121"/>
      <c r="M12" s="121"/>
      <c r="N12" s="121"/>
      <c r="O12" s="121"/>
      <c r="P12" s="121"/>
      <c r="Q12" s="121"/>
      <c r="R12" s="121"/>
      <c r="S12" s="121"/>
    </row>
    <row r="13" spans="1:19">
      <c r="A13" s="121"/>
      <c r="B13" s="121" t="s">
        <v>127</v>
      </c>
      <c r="C13" s="121"/>
      <c r="D13" s="121"/>
      <c r="E13" s="121"/>
      <c r="F13" s="121"/>
      <c r="G13" s="121"/>
      <c r="H13" s="121"/>
      <c r="I13" s="121"/>
      <c r="J13" s="121"/>
      <c r="K13" s="121"/>
      <c r="L13" s="121"/>
      <c r="M13" s="121"/>
      <c r="N13" s="121"/>
      <c r="O13" s="121"/>
      <c r="P13" s="121"/>
      <c r="Q13" s="121"/>
      <c r="R13" s="121"/>
      <c r="S13" s="121"/>
    </row>
    <row r="14" spans="1:19">
      <c r="A14" s="121"/>
      <c r="B14" s="121" t="s">
        <v>128</v>
      </c>
      <c r="C14" s="121"/>
      <c r="D14" s="121"/>
      <c r="E14" s="121"/>
      <c r="F14" s="121"/>
      <c r="G14" s="121"/>
      <c r="H14" s="121"/>
      <c r="I14" s="121"/>
      <c r="J14" s="121"/>
      <c r="K14" s="121"/>
      <c r="L14" s="121"/>
      <c r="M14" s="121"/>
      <c r="N14" s="121"/>
      <c r="O14" s="121"/>
      <c r="P14" s="121"/>
      <c r="Q14" s="121"/>
      <c r="R14" s="121"/>
      <c r="S14" s="121"/>
    </row>
    <row r="15" spans="1:19">
      <c r="A15" s="121"/>
      <c r="B15" s="121"/>
      <c r="C15" s="121"/>
      <c r="D15" s="121"/>
      <c r="E15" s="121"/>
      <c r="F15" s="121"/>
      <c r="G15" s="121"/>
      <c r="H15" s="121"/>
      <c r="I15" s="121"/>
      <c r="J15" s="121"/>
      <c r="K15" s="121"/>
      <c r="L15" s="121"/>
      <c r="M15" s="121"/>
      <c r="N15" s="121"/>
      <c r="O15" s="121"/>
      <c r="P15" s="121"/>
      <c r="Q15" s="121"/>
      <c r="R15" s="121"/>
      <c r="S15" s="121"/>
    </row>
    <row r="16" spans="1:19" ht="15">
      <c r="A16" s="121"/>
      <c r="B16" s="121" t="s">
        <v>158</v>
      </c>
      <c r="C16" s="121"/>
      <c r="D16" s="121"/>
      <c r="E16" s="121"/>
      <c r="F16" s="121"/>
      <c r="G16" s="121"/>
      <c r="H16" s="121"/>
      <c r="I16" s="121"/>
      <c r="J16" s="121"/>
      <c r="K16" s="121"/>
      <c r="L16" s="121"/>
      <c r="M16" s="121"/>
      <c r="N16" s="121"/>
      <c r="O16" s="121"/>
      <c r="P16" s="121"/>
      <c r="Q16" s="121"/>
      <c r="R16" s="121"/>
      <c r="S16" s="121"/>
    </row>
    <row r="17" spans="1:19">
      <c r="A17" s="121"/>
      <c r="B17" s="121" t="s">
        <v>159</v>
      </c>
      <c r="C17" s="121"/>
      <c r="D17" s="121"/>
      <c r="E17" s="121"/>
      <c r="F17" s="121"/>
      <c r="G17" s="121"/>
      <c r="H17" s="121"/>
      <c r="I17" s="121"/>
      <c r="J17" s="121"/>
      <c r="K17" s="121"/>
      <c r="L17" s="121"/>
      <c r="M17" s="121"/>
      <c r="N17" s="121"/>
      <c r="O17" s="121"/>
      <c r="P17" s="121"/>
      <c r="Q17" s="121"/>
      <c r="R17" s="121"/>
      <c r="S17" s="121"/>
    </row>
    <row r="18" spans="1:19">
      <c r="A18" s="121"/>
      <c r="B18" s="121" t="s">
        <v>129</v>
      </c>
      <c r="C18" s="121"/>
      <c r="D18" s="121"/>
      <c r="E18" s="121"/>
      <c r="F18" s="121"/>
      <c r="G18" s="121"/>
      <c r="H18" s="121"/>
      <c r="I18" s="121"/>
      <c r="J18" s="121"/>
      <c r="K18" s="121"/>
      <c r="L18" s="121"/>
      <c r="M18" s="121"/>
      <c r="N18" s="121"/>
      <c r="O18" s="121"/>
      <c r="P18" s="121"/>
      <c r="Q18" s="121"/>
      <c r="R18" s="121"/>
      <c r="S18" s="121"/>
    </row>
    <row r="19" spans="1:19">
      <c r="A19" s="121"/>
      <c r="B19" s="121"/>
      <c r="C19" s="121"/>
      <c r="D19" s="121"/>
      <c r="E19" s="121"/>
      <c r="F19" s="121"/>
      <c r="G19" s="121"/>
      <c r="H19" s="121"/>
      <c r="I19" s="121"/>
      <c r="J19" s="121"/>
      <c r="K19" s="121"/>
      <c r="L19" s="121"/>
      <c r="M19" s="121"/>
      <c r="N19" s="121"/>
      <c r="O19" s="121"/>
      <c r="P19" s="121"/>
      <c r="Q19" s="121"/>
      <c r="R19" s="121"/>
      <c r="S19" s="121"/>
    </row>
    <row r="20" spans="1:19" ht="15">
      <c r="A20" s="121"/>
      <c r="B20" s="121" t="s">
        <v>160</v>
      </c>
      <c r="C20" s="121"/>
      <c r="D20" s="121"/>
      <c r="E20" s="121"/>
      <c r="F20" s="121"/>
      <c r="G20" s="121"/>
      <c r="H20" s="121"/>
      <c r="I20" s="121"/>
      <c r="J20" s="121"/>
      <c r="K20" s="121"/>
      <c r="L20" s="121"/>
      <c r="M20" s="121"/>
      <c r="N20" s="121"/>
      <c r="O20" s="121"/>
      <c r="P20" s="121"/>
      <c r="Q20" s="121"/>
      <c r="R20" s="121"/>
      <c r="S20" s="121"/>
    </row>
    <row r="21" spans="1:19">
      <c r="A21" s="121"/>
      <c r="B21" s="121" t="s">
        <v>130</v>
      </c>
      <c r="C21" s="121"/>
      <c r="D21" s="121"/>
      <c r="E21" s="121"/>
      <c r="F21" s="121"/>
      <c r="G21" s="121"/>
      <c r="H21" s="121"/>
      <c r="I21" s="121"/>
      <c r="J21" s="121"/>
      <c r="K21" s="121"/>
      <c r="L21" s="121"/>
      <c r="M21" s="121"/>
      <c r="N21" s="121"/>
      <c r="O21" s="121"/>
      <c r="P21" s="121"/>
      <c r="Q21" s="121"/>
      <c r="R21" s="121"/>
      <c r="S21" s="121"/>
    </row>
    <row r="22" spans="1:19">
      <c r="A22" s="121"/>
      <c r="B22" s="121" t="s">
        <v>131</v>
      </c>
      <c r="C22" s="121"/>
      <c r="D22" s="121"/>
      <c r="E22" s="121"/>
      <c r="F22" s="121"/>
      <c r="G22" s="121"/>
      <c r="H22" s="121"/>
      <c r="I22" s="121"/>
      <c r="J22" s="121"/>
      <c r="K22" s="121"/>
      <c r="L22" s="121"/>
      <c r="M22" s="121"/>
      <c r="N22" s="121"/>
      <c r="O22" s="121"/>
      <c r="P22" s="121"/>
      <c r="Q22" s="121"/>
      <c r="R22" s="121"/>
      <c r="S22" s="121"/>
    </row>
    <row r="23" spans="1:19">
      <c r="A23" s="121"/>
      <c r="B23" s="121" t="s">
        <v>132</v>
      </c>
      <c r="C23" s="121"/>
      <c r="D23" s="121"/>
      <c r="E23" s="121"/>
      <c r="F23" s="121"/>
      <c r="G23" s="121"/>
      <c r="H23" s="121"/>
      <c r="I23" s="121"/>
      <c r="J23" s="121"/>
      <c r="K23" s="121"/>
      <c r="L23" s="121"/>
      <c r="M23" s="121"/>
      <c r="N23" s="121"/>
      <c r="O23" s="121"/>
      <c r="P23" s="121"/>
      <c r="Q23" s="121"/>
      <c r="R23" s="121"/>
      <c r="S23" s="121"/>
    </row>
    <row r="24" spans="1:19">
      <c r="A24" s="121"/>
      <c r="B24" s="121" t="s">
        <v>133</v>
      </c>
      <c r="C24" s="121"/>
      <c r="D24" s="121"/>
      <c r="E24" s="121"/>
      <c r="F24" s="121"/>
      <c r="G24" s="121"/>
      <c r="H24" s="121"/>
      <c r="I24" s="121"/>
      <c r="J24" s="121"/>
      <c r="K24" s="121"/>
      <c r="L24" s="121"/>
      <c r="M24" s="121"/>
      <c r="N24" s="121"/>
      <c r="O24" s="121"/>
      <c r="P24" s="121"/>
      <c r="Q24" s="121"/>
      <c r="R24" s="121"/>
      <c r="S24" s="121"/>
    </row>
    <row r="25" spans="1:19">
      <c r="A25" s="121"/>
      <c r="B25" s="121"/>
      <c r="C25" s="121"/>
      <c r="D25" s="121"/>
      <c r="E25" s="121"/>
      <c r="F25" s="121"/>
      <c r="G25" s="121"/>
      <c r="H25" s="121"/>
      <c r="I25" s="121"/>
      <c r="J25" s="121"/>
      <c r="K25" s="121"/>
      <c r="L25" s="121"/>
      <c r="M25" s="121"/>
      <c r="N25" s="121"/>
      <c r="O25" s="121"/>
      <c r="P25" s="121"/>
      <c r="Q25" s="121"/>
      <c r="R25" s="121"/>
      <c r="S25" s="121"/>
    </row>
    <row r="26" spans="1:19" ht="15">
      <c r="A26" s="121"/>
      <c r="B26" s="121" t="s">
        <v>161</v>
      </c>
      <c r="C26" s="121"/>
      <c r="D26" s="121"/>
      <c r="E26" s="121"/>
      <c r="F26" s="121"/>
      <c r="G26" s="121"/>
      <c r="H26" s="121"/>
      <c r="I26" s="121"/>
      <c r="J26" s="121"/>
      <c r="K26" s="121"/>
      <c r="L26" s="121"/>
      <c r="M26" s="121"/>
      <c r="N26" s="121"/>
      <c r="O26" s="121"/>
      <c r="P26" s="121"/>
      <c r="Q26" s="121"/>
      <c r="R26" s="121"/>
      <c r="S26" s="121"/>
    </row>
    <row r="27" spans="1:19" ht="15">
      <c r="A27" s="121"/>
      <c r="B27" s="121" t="s">
        <v>162</v>
      </c>
      <c r="C27" s="121"/>
      <c r="D27" s="121"/>
      <c r="E27" s="121"/>
      <c r="F27" s="121"/>
      <c r="G27" s="121"/>
      <c r="H27" s="121"/>
      <c r="I27" s="121"/>
      <c r="J27" s="121"/>
      <c r="K27" s="121"/>
      <c r="L27" s="121"/>
      <c r="M27" s="121"/>
      <c r="N27" s="121"/>
      <c r="O27" s="121"/>
      <c r="P27" s="121"/>
      <c r="Q27" s="121"/>
      <c r="R27" s="121"/>
      <c r="S27" s="121"/>
    </row>
    <row r="28" spans="1:19">
      <c r="A28" s="121"/>
      <c r="B28" s="121" t="s">
        <v>134</v>
      </c>
      <c r="C28" s="121"/>
      <c r="D28" s="121"/>
      <c r="E28" s="121"/>
      <c r="F28" s="121"/>
      <c r="G28" s="121"/>
      <c r="H28" s="121"/>
      <c r="I28" s="121"/>
      <c r="J28" s="121"/>
      <c r="K28" s="121"/>
      <c r="L28" s="121"/>
      <c r="M28" s="121"/>
      <c r="N28" s="121"/>
      <c r="O28" s="121"/>
      <c r="P28" s="121"/>
      <c r="Q28" s="121"/>
      <c r="R28" s="121"/>
      <c r="S28" s="121"/>
    </row>
    <row r="29" spans="1:19">
      <c r="A29" s="121"/>
      <c r="B29" s="121" t="s">
        <v>135</v>
      </c>
      <c r="C29" s="121"/>
      <c r="D29" s="121"/>
      <c r="E29" s="121"/>
      <c r="F29" s="121"/>
      <c r="G29" s="121"/>
      <c r="H29" s="121"/>
      <c r="I29" s="121"/>
      <c r="J29" s="121"/>
      <c r="K29" s="121"/>
      <c r="L29" s="121"/>
      <c r="M29" s="121"/>
      <c r="N29" s="121"/>
      <c r="O29" s="121"/>
      <c r="P29" s="121"/>
      <c r="Q29" s="121"/>
      <c r="R29" s="121"/>
      <c r="S29" s="121"/>
    </row>
    <row r="30" spans="1:19">
      <c r="A30" s="121"/>
      <c r="B30" s="121"/>
      <c r="C30" s="121"/>
      <c r="D30" s="121"/>
      <c r="E30" s="121"/>
      <c r="F30" s="121"/>
      <c r="G30" s="121"/>
      <c r="H30" s="121"/>
      <c r="I30" s="121"/>
      <c r="J30" s="121"/>
      <c r="K30" s="121"/>
      <c r="L30" s="121"/>
      <c r="M30" s="121"/>
      <c r="N30" s="121"/>
      <c r="O30" s="121"/>
      <c r="P30" s="121"/>
      <c r="Q30" s="121"/>
      <c r="R30" s="121"/>
      <c r="S30" s="121"/>
    </row>
    <row r="31" spans="1:19" ht="15">
      <c r="A31" s="121"/>
      <c r="B31" s="121" t="s">
        <v>163</v>
      </c>
      <c r="C31" s="121"/>
      <c r="D31" s="121"/>
      <c r="E31" s="121"/>
      <c r="F31" s="121"/>
      <c r="G31" s="121"/>
      <c r="H31" s="121"/>
      <c r="I31" s="121"/>
      <c r="J31" s="121"/>
      <c r="K31" s="121"/>
      <c r="L31" s="121"/>
      <c r="M31" s="121"/>
      <c r="N31" s="121"/>
      <c r="O31" s="121"/>
      <c r="P31" s="121"/>
      <c r="Q31" s="121"/>
      <c r="R31" s="121"/>
      <c r="S31" s="121"/>
    </row>
    <row r="32" spans="1:19">
      <c r="A32" s="121"/>
      <c r="B32" s="121" t="s">
        <v>136</v>
      </c>
      <c r="C32" s="121"/>
      <c r="D32" s="121"/>
      <c r="E32" s="121"/>
      <c r="F32" s="121"/>
      <c r="G32" s="121"/>
      <c r="H32" s="121"/>
      <c r="I32" s="121"/>
      <c r="J32" s="121"/>
      <c r="K32" s="121"/>
      <c r="L32" s="121"/>
      <c r="M32" s="121"/>
      <c r="N32" s="121"/>
      <c r="O32" s="121"/>
      <c r="P32" s="121"/>
      <c r="Q32" s="121"/>
      <c r="R32" s="121"/>
      <c r="S32" s="121"/>
    </row>
    <row r="33" spans="1:19">
      <c r="A33" s="121"/>
      <c r="B33" s="121"/>
      <c r="C33" s="121"/>
      <c r="D33" s="121"/>
      <c r="E33" s="121"/>
      <c r="F33" s="121"/>
      <c r="G33" s="121"/>
      <c r="H33" s="121"/>
      <c r="I33" s="121"/>
      <c r="J33" s="121"/>
      <c r="K33" s="121"/>
      <c r="L33" s="121"/>
      <c r="M33" s="121"/>
      <c r="N33" s="121"/>
      <c r="O33" s="121"/>
      <c r="P33" s="121"/>
      <c r="Q33" s="121"/>
      <c r="R33" s="121"/>
      <c r="S33" s="121"/>
    </row>
    <row r="34" spans="1:19" ht="15">
      <c r="A34" s="121"/>
      <c r="B34" s="121" t="s">
        <v>164</v>
      </c>
      <c r="C34" s="121"/>
      <c r="D34" s="121"/>
      <c r="E34" s="121"/>
      <c r="F34" s="121"/>
      <c r="G34" s="121"/>
      <c r="H34" s="121"/>
      <c r="I34" s="121"/>
      <c r="J34" s="121"/>
      <c r="K34" s="121"/>
      <c r="L34" s="121"/>
      <c r="M34" s="121"/>
      <c r="N34" s="121"/>
      <c r="O34" s="121"/>
      <c r="P34" s="121"/>
      <c r="Q34" s="121"/>
      <c r="R34" s="121"/>
      <c r="S34" s="121"/>
    </row>
    <row r="35" spans="1:19">
      <c r="A35" s="121"/>
      <c r="B35" s="121" t="s">
        <v>137</v>
      </c>
      <c r="C35" s="121"/>
      <c r="D35" s="121"/>
      <c r="E35" s="121"/>
      <c r="F35" s="121"/>
      <c r="G35" s="121"/>
      <c r="H35" s="121"/>
      <c r="I35" s="121"/>
      <c r="J35" s="121"/>
      <c r="K35" s="121"/>
      <c r="L35" s="121"/>
      <c r="M35" s="121"/>
      <c r="N35" s="121"/>
      <c r="O35" s="121"/>
      <c r="P35" s="121"/>
      <c r="Q35" s="121"/>
      <c r="R35" s="121"/>
      <c r="S35" s="121"/>
    </row>
    <row r="36" spans="1:19">
      <c r="A36" s="121"/>
      <c r="B36" s="121" t="s">
        <v>138</v>
      </c>
      <c r="C36" s="121"/>
      <c r="D36" s="121"/>
      <c r="E36" s="121"/>
      <c r="F36" s="121"/>
      <c r="G36" s="121"/>
      <c r="H36" s="121"/>
      <c r="I36" s="121"/>
      <c r="J36" s="121"/>
      <c r="K36" s="121"/>
      <c r="L36" s="121"/>
      <c r="M36" s="121"/>
      <c r="N36" s="121"/>
      <c r="O36" s="121"/>
      <c r="P36" s="121"/>
      <c r="Q36" s="121"/>
      <c r="R36" s="121"/>
      <c r="S36" s="121"/>
    </row>
    <row r="37" spans="1:19">
      <c r="A37" s="121"/>
      <c r="B37" s="121" t="s">
        <v>139</v>
      </c>
      <c r="C37" s="121"/>
      <c r="D37" s="121"/>
      <c r="E37" s="121"/>
      <c r="F37" s="121"/>
      <c r="G37" s="121"/>
      <c r="H37" s="121"/>
      <c r="I37" s="121"/>
      <c r="J37" s="121"/>
      <c r="K37" s="121"/>
      <c r="L37" s="121"/>
      <c r="M37" s="121"/>
      <c r="N37" s="121"/>
      <c r="O37" s="121"/>
      <c r="P37" s="121"/>
      <c r="Q37" s="121"/>
      <c r="R37" s="121"/>
      <c r="S37" s="121"/>
    </row>
    <row r="38" spans="1:19">
      <c r="A38" s="121"/>
      <c r="B38" s="121" t="s">
        <v>140</v>
      </c>
      <c r="C38" s="121"/>
      <c r="D38" s="121"/>
      <c r="E38" s="121"/>
      <c r="F38" s="121"/>
      <c r="G38" s="121"/>
      <c r="H38" s="121"/>
      <c r="I38" s="121"/>
      <c r="J38" s="121"/>
      <c r="K38" s="121"/>
      <c r="L38" s="121"/>
      <c r="M38" s="121"/>
      <c r="N38" s="121"/>
      <c r="O38" s="121"/>
      <c r="P38" s="121"/>
      <c r="Q38" s="121"/>
      <c r="R38" s="121"/>
      <c r="S38" s="121"/>
    </row>
    <row r="39" spans="1:19">
      <c r="A39" s="121"/>
      <c r="B39" s="121" t="s">
        <v>141</v>
      </c>
      <c r="C39" s="121"/>
      <c r="D39" s="121"/>
      <c r="E39" s="121"/>
      <c r="F39" s="121"/>
      <c r="G39" s="121"/>
      <c r="H39" s="121"/>
      <c r="I39" s="121"/>
      <c r="J39" s="121"/>
      <c r="K39" s="121"/>
      <c r="L39" s="121"/>
      <c r="M39" s="121"/>
      <c r="N39" s="121"/>
      <c r="O39" s="121"/>
      <c r="P39" s="121"/>
      <c r="Q39" s="121"/>
      <c r="R39" s="121"/>
      <c r="S39" s="121"/>
    </row>
    <row r="40" spans="1:19">
      <c r="A40" s="121"/>
      <c r="B40" s="121" t="s">
        <v>142</v>
      </c>
      <c r="C40" s="121"/>
      <c r="D40" s="121"/>
      <c r="E40" s="121"/>
      <c r="F40" s="121"/>
      <c r="G40" s="121"/>
      <c r="H40" s="121"/>
      <c r="I40" s="121"/>
      <c r="J40" s="121"/>
      <c r="K40" s="121"/>
      <c r="L40" s="121"/>
      <c r="M40" s="121"/>
      <c r="N40" s="121"/>
      <c r="O40" s="121"/>
      <c r="P40" s="121"/>
      <c r="Q40" s="121"/>
      <c r="R40" s="121"/>
      <c r="S40" s="121"/>
    </row>
    <row r="41" spans="1:19">
      <c r="A41" s="121"/>
      <c r="B41" s="121" t="s">
        <v>143</v>
      </c>
      <c r="C41" s="121"/>
      <c r="D41" s="121"/>
      <c r="E41" s="121"/>
      <c r="F41" s="121"/>
      <c r="G41" s="121"/>
      <c r="H41" s="121"/>
      <c r="I41" s="121"/>
      <c r="J41" s="121"/>
      <c r="K41" s="121"/>
      <c r="L41" s="121"/>
      <c r="M41" s="121"/>
      <c r="N41" s="121"/>
      <c r="O41" s="121"/>
      <c r="P41" s="121"/>
      <c r="Q41" s="121"/>
      <c r="R41" s="121"/>
      <c r="S41" s="121"/>
    </row>
    <row r="42" spans="1:19">
      <c r="A42" s="121"/>
      <c r="B42" s="121" t="s">
        <v>144</v>
      </c>
      <c r="C42" s="121"/>
      <c r="D42" s="121"/>
      <c r="E42" s="121"/>
      <c r="F42" s="121"/>
      <c r="G42" s="121"/>
      <c r="H42" s="121"/>
      <c r="I42" s="121"/>
      <c r="J42" s="121"/>
      <c r="K42" s="121"/>
      <c r="L42" s="121"/>
      <c r="M42" s="121"/>
      <c r="N42" s="121"/>
      <c r="O42" s="121"/>
      <c r="P42" s="121"/>
      <c r="Q42" s="121"/>
      <c r="R42" s="121"/>
      <c r="S42" s="121"/>
    </row>
    <row r="43" spans="1:19">
      <c r="A43" s="121"/>
      <c r="B43" s="121" t="s">
        <v>145</v>
      </c>
      <c r="C43" s="121"/>
      <c r="D43" s="121"/>
      <c r="E43" s="121"/>
      <c r="F43" s="121"/>
      <c r="G43" s="121"/>
      <c r="H43" s="121"/>
      <c r="I43" s="121"/>
      <c r="J43" s="121"/>
      <c r="K43" s="121"/>
      <c r="L43" s="121"/>
      <c r="M43" s="121"/>
      <c r="N43" s="121"/>
      <c r="O43" s="121"/>
      <c r="P43" s="121"/>
      <c r="Q43" s="121"/>
      <c r="R43" s="121"/>
      <c r="S43" s="121"/>
    </row>
    <row r="44" spans="1:19">
      <c r="A44" s="121"/>
      <c r="B44" s="121" t="s">
        <v>146</v>
      </c>
      <c r="C44" s="121"/>
      <c r="D44" s="121"/>
      <c r="E44" s="121"/>
      <c r="F44" s="121"/>
      <c r="G44" s="121"/>
      <c r="H44" s="121"/>
      <c r="I44" s="121"/>
      <c r="J44" s="121"/>
      <c r="K44" s="121"/>
      <c r="L44" s="121"/>
      <c r="M44" s="121"/>
      <c r="N44" s="121"/>
      <c r="O44" s="121"/>
      <c r="P44" s="121"/>
      <c r="Q44" s="121"/>
      <c r="R44" s="121"/>
      <c r="S44" s="121"/>
    </row>
    <row r="45" spans="1:19">
      <c r="A45" s="121"/>
      <c r="B45" s="121" t="s">
        <v>147</v>
      </c>
      <c r="C45" s="121"/>
      <c r="D45" s="121"/>
      <c r="E45" s="121"/>
      <c r="F45" s="121"/>
      <c r="G45" s="121"/>
      <c r="H45" s="121"/>
      <c r="I45" s="121"/>
      <c r="J45" s="121"/>
      <c r="K45" s="121"/>
      <c r="L45" s="121"/>
      <c r="M45" s="121"/>
      <c r="N45" s="121"/>
      <c r="O45" s="121"/>
      <c r="P45" s="121"/>
      <c r="Q45" s="121"/>
      <c r="R45" s="121"/>
      <c r="S45" s="121"/>
    </row>
    <row r="46" spans="1:19">
      <c r="A46" s="121"/>
      <c r="B46" s="121" t="s">
        <v>148</v>
      </c>
      <c r="C46" s="121"/>
      <c r="D46" s="121"/>
      <c r="E46" s="121"/>
      <c r="F46" s="121"/>
      <c r="G46" s="121"/>
      <c r="H46" s="121"/>
      <c r="I46" s="121"/>
      <c r="J46" s="121"/>
      <c r="K46" s="121"/>
      <c r="L46" s="121"/>
      <c r="M46" s="121"/>
      <c r="N46" s="121"/>
      <c r="O46" s="121"/>
      <c r="P46" s="121"/>
      <c r="Q46" s="121"/>
      <c r="R46" s="121"/>
      <c r="S46" s="121"/>
    </row>
    <row r="47" spans="1:19">
      <c r="A47" s="121"/>
      <c r="B47" s="121"/>
      <c r="C47" s="121"/>
      <c r="D47" s="121"/>
      <c r="E47" s="121"/>
      <c r="F47" s="121"/>
      <c r="G47" s="121"/>
      <c r="H47" s="121"/>
      <c r="I47" s="121"/>
      <c r="J47" s="121"/>
      <c r="K47" s="121"/>
      <c r="L47" s="121"/>
      <c r="M47" s="121"/>
      <c r="N47" s="121"/>
      <c r="O47" s="121"/>
      <c r="P47" s="121"/>
      <c r="Q47" s="121"/>
      <c r="R47" s="121"/>
      <c r="S47" s="121"/>
    </row>
    <row r="48" spans="1:19" ht="15">
      <c r="A48" s="121"/>
      <c r="B48" s="121" t="s">
        <v>165</v>
      </c>
      <c r="C48" s="121"/>
      <c r="D48" s="121"/>
      <c r="E48" s="121"/>
      <c r="F48" s="121"/>
      <c r="G48" s="121"/>
      <c r="H48" s="121"/>
      <c r="I48" s="121"/>
      <c r="J48" s="121"/>
      <c r="K48" s="121"/>
      <c r="L48" s="121"/>
      <c r="M48" s="121"/>
      <c r="N48" s="121"/>
      <c r="O48" s="121"/>
      <c r="P48" s="121"/>
      <c r="Q48" s="121"/>
      <c r="R48" s="121"/>
      <c r="S48" s="121"/>
    </row>
    <row r="49" spans="1:19">
      <c r="A49" s="121"/>
      <c r="B49" s="121" t="s">
        <v>149</v>
      </c>
      <c r="C49" s="121"/>
      <c r="D49" s="121"/>
      <c r="E49" s="121"/>
      <c r="F49" s="121"/>
      <c r="G49" s="121"/>
      <c r="H49" s="121"/>
      <c r="I49" s="121"/>
      <c r="J49" s="121"/>
      <c r="K49" s="121"/>
      <c r="L49" s="121"/>
      <c r="M49" s="121"/>
      <c r="N49" s="121"/>
      <c r="O49" s="121"/>
      <c r="P49" s="121"/>
      <c r="Q49" s="121"/>
      <c r="R49" s="121"/>
      <c r="S49" s="121"/>
    </row>
    <row r="50" spans="1:19">
      <c r="A50" s="121"/>
      <c r="B50" s="121"/>
      <c r="C50" s="121"/>
      <c r="D50" s="121"/>
      <c r="E50" s="121"/>
      <c r="F50" s="121"/>
      <c r="G50" s="121"/>
      <c r="H50" s="121"/>
      <c r="I50" s="121"/>
      <c r="J50" s="121"/>
      <c r="K50" s="121"/>
      <c r="L50" s="121"/>
      <c r="M50" s="121"/>
      <c r="N50" s="121"/>
      <c r="O50" s="121"/>
      <c r="P50" s="121"/>
      <c r="Q50" s="121"/>
      <c r="R50" s="121"/>
      <c r="S50" s="121"/>
    </row>
    <row r="51" spans="1:19" ht="15">
      <c r="A51" s="121"/>
      <c r="B51" s="121" t="s">
        <v>166</v>
      </c>
      <c r="C51" s="121"/>
      <c r="D51" s="121"/>
      <c r="E51" s="121"/>
      <c r="F51" s="121"/>
      <c r="G51" s="121"/>
      <c r="H51" s="121"/>
      <c r="I51" s="121"/>
      <c r="J51" s="121"/>
      <c r="K51" s="121"/>
      <c r="L51" s="121"/>
      <c r="M51" s="121"/>
      <c r="N51" s="121"/>
      <c r="O51" s="121"/>
      <c r="P51" s="121"/>
      <c r="Q51" s="121"/>
      <c r="R51" s="121"/>
      <c r="S51" s="121"/>
    </row>
    <row r="52" spans="1:19">
      <c r="A52" s="121"/>
      <c r="B52" s="121" t="s">
        <v>150</v>
      </c>
      <c r="C52" s="121"/>
      <c r="D52" s="121"/>
      <c r="E52" s="121"/>
      <c r="F52" s="121"/>
      <c r="G52" s="121"/>
      <c r="H52" s="121"/>
      <c r="I52" s="121"/>
      <c r="J52" s="121"/>
      <c r="K52" s="121"/>
      <c r="L52" s="121"/>
      <c r="M52" s="121"/>
      <c r="N52" s="121"/>
      <c r="O52" s="121"/>
      <c r="P52" s="121"/>
      <c r="Q52" s="121"/>
      <c r="R52" s="121"/>
      <c r="S52" s="121"/>
    </row>
    <row r="53" spans="1:19">
      <c r="A53" s="121"/>
      <c r="B53" s="121" t="s">
        <v>151</v>
      </c>
      <c r="C53" s="121"/>
      <c r="D53" s="121"/>
      <c r="E53" s="121"/>
      <c r="F53" s="121"/>
      <c r="G53" s="121"/>
      <c r="H53" s="121"/>
      <c r="I53" s="121"/>
      <c r="J53" s="121"/>
      <c r="K53" s="121"/>
      <c r="L53" s="121"/>
      <c r="M53" s="121"/>
      <c r="N53" s="121"/>
      <c r="O53" s="121"/>
      <c r="P53" s="121"/>
      <c r="Q53" s="121"/>
      <c r="R53" s="121"/>
      <c r="S53" s="121"/>
    </row>
    <row r="54" spans="1:19">
      <c r="A54" s="121"/>
      <c r="B54" s="121" t="s">
        <v>152</v>
      </c>
      <c r="C54" s="121"/>
      <c r="D54" s="121"/>
      <c r="E54" s="121"/>
      <c r="F54" s="121"/>
      <c r="G54" s="121"/>
      <c r="H54" s="121"/>
      <c r="I54" s="121"/>
      <c r="J54" s="121"/>
      <c r="K54" s="121"/>
      <c r="L54" s="121"/>
      <c r="M54" s="121"/>
      <c r="N54" s="121"/>
      <c r="O54" s="121"/>
      <c r="P54" s="121"/>
      <c r="Q54" s="121"/>
      <c r="R54" s="121"/>
      <c r="S54" s="121"/>
    </row>
    <row r="55" spans="1:19">
      <c r="A55" s="121"/>
      <c r="B55" s="121"/>
      <c r="C55" s="121"/>
      <c r="D55" s="121"/>
      <c r="E55" s="121"/>
      <c r="F55" s="121"/>
      <c r="G55" s="121"/>
      <c r="H55" s="121"/>
      <c r="I55" s="121"/>
      <c r="J55" s="121"/>
      <c r="K55" s="121"/>
      <c r="L55" s="121"/>
      <c r="M55" s="121"/>
      <c r="N55" s="121"/>
      <c r="O55" s="121"/>
      <c r="P55" s="121"/>
      <c r="Q55" s="121"/>
      <c r="R55" s="121"/>
      <c r="S55" s="121"/>
    </row>
    <row r="56" spans="1:19">
      <c r="A56" s="121"/>
      <c r="B56" s="121"/>
      <c r="C56" s="121"/>
      <c r="D56" s="121"/>
      <c r="E56" s="121"/>
      <c r="F56" s="121"/>
      <c r="G56" s="121"/>
      <c r="H56" s="121"/>
      <c r="I56" s="121"/>
      <c r="J56" s="121"/>
      <c r="K56" s="121"/>
      <c r="L56" s="121"/>
      <c r="M56" s="121"/>
      <c r="N56" s="121"/>
      <c r="O56" s="121"/>
      <c r="P56" s="121"/>
      <c r="Q56" s="121"/>
      <c r="R56" s="121"/>
      <c r="S56" s="121"/>
    </row>
    <row r="57" spans="1:19">
      <c r="A57" s="121"/>
      <c r="B57" s="121"/>
      <c r="C57" s="121"/>
      <c r="D57" s="121"/>
      <c r="E57" s="121"/>
      <c r="F57" s="121"/>
      <c r="G57" s="121"/>
      <c r="H57" s="121"/>
      <c r="I57" s="121"/>
      <c r="J57" s="121"/>
      <c r="K57" s="121"/>
      <c r="L57" s="121"/>
      <c r="M57" s="121"/>
      <c r="N57" s="121"/>
      <c r="O57" s="121"/>
      <c r="P57" s="121"/>
      <c r="Q57" s="121"/>
      <c r="R57" s="121"/>
      <c r="S57" s="121"/>
    </row>
    <row r="58" spans="1:19">
      <c r="A58" s="121"/>
      <c r="B58" s="121" t="s">
        <v>50</v>
      </c>
      <c r="C58" s="121"/>
      <c r="D58" s="121"/>
      <c r="E58" s="121"/>
      <c r="F58" s="121"/>
      <c r="G58" s="121"/>
      <c r="H58" s="121"/>
      <c r="I58" s="121"/>
      <c r="J58" s="121"/>
      <c r="K58" s="121"/>
      <c r="L58" s="121"/>
      <c r="M58" s="121"/>
      <c r="N58" s="121"/>
      <c r="O58" s="121"/>
      <c r="P58" s="121"/>
      <c r="Q58" s="121"/>
      <c r="R58" s="121"/>
      <c r="S58" s="121"/>
    </row>
    <row r="59" spans="1:19">
      <c r="A59" s="121"/>
      <c r="B59" s="121"/>
      <c r="C59" s="121"/>
      <c r="D59" s="121"/>
      <c r="E59" s="121"/>
      <c r="F59" s="121"/>
      <c r="G59" s="121"/>
      <c r="H59" s="121"/>
      <c r="I59" s="121"/>
      <c r="J59" s="121"/>
      <c r="K59" s="121"/>
      <c r="L59" s="121"/>
      <c r="M59" s="121"/>
      <c r="N59" s="121"/>
      <c r="O59" s="121"/>
      <c r="P59" s="121"/>
      <c r="Q59" s="121"/>
      <c r="R59" s="121"/>
      <c r="S59" s="121"/>
    </row>
    <row r="60" spans="1:19">
      <c r="A60" s="121"/>
      <c r="B60" s="121" t="s">
        <v>51</v>
      </c>
      <c r="C60" s="121"/>
      <c r="D60" s="121"/>
      <c r="E60" s="121"/>
      <c r="F60" s="121"/>
      <c r="G60" s="121"/>
      <c r="H60" s="121"/>
      <c r="I60" s="121"/>
      <c r="J60" s="121"/>
      <c r="K60" s="121"/>
      <c r="L60" s="121"/>
      <c r="M60" s="121"/>
      <c r="N60" s="121"/>
      <c r="O60" s="121"/>
      <c r="P60" s="121"/>
      <c r="Q60" s="121"/>
      <c r="R60" s="121"/>
      <c r="S60" s="121"/>
    </row>
    <row r="61" spans="1:19">
      <c r="A61" s="121"/>
      <c r="B61" s="121"/>
      <c r="C61" s="121"/>
      <c r="D61" s="121"/>
      <c r="E61" s="121"/>
      <c r="F61" s="121"/>
      <c r="G61" s="121"/>
      <c r="H61" s="121"/>
      <c r="I61" s="121"/>
      <c r="J61" s="121"/>
      <c r="K61" s="121"/>
      <c r="L61" s="121"/>
      <c r="M61" s="121"/>
      <c r="N61" s="121"/>
      <c r="O61" s="121"/>
      <c r="P61" s="121"/>
      <c r="Q61" s="121"/>
      <c r="R61" s="121"/>
      <c r="S61" s="121"/>
    </row>
    <row r="62" spans="1:19">
      <c r="A62" s="121"/>
      <c r="B62" s="121" t="s">
        <v>52</v>
      </c>
      <c r="C62" s="121"/>
      <c r="D62" s="121"/>
      <c r="E62" s="121"/>
      <c r="F62" s="121"/>
      <c r="G62" s="121"/>
      <c r="H62" s="121"/>
      <c r="I62" s="121"/>
      <c r="J62" s="121"/>
      <c r="K62" s="121"/>
      <c r="L62" s="121"/>
      <c r="M62" s="121"/>
      <c r="N62" s="121"/>
      <c r="O62" s="121"/>
      <c r="P62" s="121"/>
      <c r="Q62" s="121"/>
      <c r="R62" s="121"/>
      <c r="S62" s="121"/>
    </row>
    <row r="63" spans="1:19">
      <c r="A63" s="121"/>
      <c r="B63" s="121" t="s">
        <v>53</v>
      </c>
      <c r="C63" s="121"/>
      <c r="D63" s="121"/>
      <c r="E63" s="121"/>
      <c r="F63" s="121"/>
      <c r="G63" s="121"/>
      <c r="H63" s="121"/>
      <c r="I63" s="121"/>
      <c r="J63" s="121"/>
      <c r="K63" s="121"/>
      <c r="L63" s="121"/>
      <c r="M63" s="121"/>
      <c r="N63" s="121"/>
      <c r="O63" s="121"/>
      <c r="P63" s="121"/>
      <c r="Q63" s="121"/>
      <c r="R63" s="121"/>
      <c r="S63" s="121"/>
    </row>
    <row r="64" spans="1:19">
      <c r="A64" s="121"/>
      <c r="B64" s="121" t="s">
        <v>54</v>
      </c>
      <c r="C64" s="121"/>
      <c r="D64" s="121"/>
      <c r="E64" s="121"/>
      <c r="F64" s="121"/>
      <c r="G64" s="121"/>
      <c r="H64" s="121"/>
      <c r="I64" s="121"/>
      <c r="J64" s="121"/>
      <c r="K64" s="121"/>
      <c r="L64" s="121"/>
      <c r="M64" s="121"/>
      <c r="N64" s="121"/>
      <c r="O64" s="121"/>
      <c r="P64" s="121"/>
      <c r="Q64" s="121"/>
      <c r="R64" s="121"/>
      <c r="S64" s="121"/>
    </row>
    <row r="65" spans="1:19">
      <c r="A65" s="121"/>
      <c r="B65" s="121" t="s">
        <v>55</v>
      </c>
      <c r="C65" s="121"/>
      <c r="D65" s="121"/>
      <c r="E65" s="121"/>
      <c r="F65" s="121"/>
      <c r="G65" s="121"/>
      <c r="H65" s="121"/>
      <c r="I65" s="121"/>
      <c r="J65" s="121"/>
      <c r="K65" s="121"/>
      <c r="L65" s="121"/>
      <c r="M65" s="121"/>
      <c r="N65" s="121"/>
      <c r="O65" s="121"/>
      <c r="P65" s="121"/>
      <c r="Q65" s="121"/>
      <c r="R65" s="121"/>
      <c r="S65" s="121"/>
    </row>
    <row r="66" spans="1:19">
      <c r="A66" s="121"/>
      <c r="B66" s="121"/>
      <c r="C66" s="121"/>
      <c r="D66" s="121"/>
      <c r="E66" s="121"/>
      <c r="F66" s="121"/>
      <c r="G66" s="121"/>
      <c r="H66" s="121"/>
      <c r="I66" s="121"/>
      <c r="J66" s="121"/>
      <c r="K66" s="121"/>
      <c r="L66" s="121"/>
      <c r="M66" s="121"/>
      <c r="N66" s="121"/>
      <c r="O66" s="121"/>
      <c r="P66" s="121"/>
      <c r="Q66" s="121"/>
      <c r="R66" s="121"/>
      <c r="S66" s="121"/>
    </row>
    <row r="67" spans="1:19">
      <c r="A67" s="121"/>
      <c r="B67" s="121" t="s">
        <v>56</v>
      </c>
      <c r="C67" s="121"/>
      <c r="D67" s="121"/>
      <c r="E67" s="121"/>
      <c r="F67" s="121"/>
      <c r="G67" s="121"/>
      <c r="H67" s="121"/>
      <c r="I67" s="121"/>
      <c r="J67" s="121"/>
      <c r="K67" s="121"/>
      <c r="L67" s="121"/>
      <c r="M67" s="121"/>
      <c r="N67" s="121"/>
      <c r="O67" s="121"/>
      <c r="P67" s="121"/>
      <c r="Q67" s="121"/>
      <c r="R67" s="121"/>
      <c r="S67" s="121"/>
    </row>
    <row r="68" spans="1:19">
      <c r="A68" s="121"/>
      <c r="B68" s="121" t="s">
        <v>57</v>
      </c>
      <c r="C68" s="121"/>
      <c r="D68" s="121"/>
      <c r="E68" s="121"/>
      <c r="F68" s="121"/>
      <c r="G68" s="121"/>
      <c r="H68" s="121"/>
      <c r="I68" s="121"/>
      <c r="J68" s="121"/>
      <c r="K68" s="121"/>
      <c r="L68" s="121"/>
      <c r="M68" s="121"/>
      <c r="N68" s="121"/>
      <c r="O68" s="121"/>
      <c r="P68" s="121"/>
      <c r="Q68" s="121"/>
      <c r="R68" s="121"/>
      <c r="S68" s="121"/>
    </row>
    <row r="69" spans="1:19">
      <c r="A69" s="121"/>
      <c r="B69" s="121" t="s">
        <v>58</v>
      </c>
      <c r="C69" s="121"/>
      <c r="D69" s="121"/>
      <c r="E69" s="121"/>
      <c r="F69" s="121"/>
      <c r="G69" s="121"/>
      <c r="H69" s="121"/>
      <c r="I69" s="121"/>
      <c r="J69" s="121"/>
      <c r="K69" s="121"/>
      <c r="L69" s="121"/>
      <c r="M69" s="121"/>
      <c r="N69" s="121"/>
      <c r="O69" s="121"/>
      <c r="P69" s="121"/>
      <c r="Q69" s="121"/>
      <c r="R69" s="121"/>
      <c r="S69" s="121"/>
    </row>
    <row r="70" spans="1:19">
      <c r="A70" s="121"/>
      <c r="B70" s="121"/>
      <c r="C70" s="121"/>
      <c r="D70" s="121"/>
      <c r="E70" s="121"/>
      <c r="F70" s="121"/>
      <c r="G70" s="121"/>
      <c r="H70" s="121"/>
      <c r="I70" s="121"/>
      <c r="J70" s="121"/>
      <c r="K70" s="121"/>
      <c r="L70" s="121"/>
      <c r="M70" s="121"/>
      <c r="N70" s="121"/>
      <c r="O70" s="121"/>
      <c r="P70" s="121"/>
      <c r="Q70" s="121"/>
      <c r="R70" s="121"/>
      <c r="S70" s="121"/>
    </row>
    <row r="71" spans="1:19">
      <c r="A71" s="121"/>
      <c r="B71" s="121" t="s">
        <v>59</v>
      </c>
      <c r="C71" s="121"/>
      <c r="D71" s="121"/>
      <c r="E71" s="121"/>
      <c r="F71" s="121"/>
      <c r="G71" s="121"/>
      <c r="H71" s="121"/>
      <c r="I71" s="121"/>
      <c r="J71" s="121"/>
      <c r="K71" s="121"/>
      <c r="L71" s="121"/>
      <c r="M71" s="121"/>
      <c r="N71" s="121"/>
      <c r="O71" s="121"/>
      <c r="P71" s="121"/>
      <c r="Q71" s="121"/>
      <c r="R71" s="121"/>
      <c r="S71" s="121"/>
    </row>
    <row r="72" spans="1:19">
      <c r="A72" s="121"/>
      <c r="B72" s="121" t="s">
        <v>60</v>
      </c>
      <c r="C72" s="121"/>
      <c r="D72" s="121"/>
      <c r="E72" s="121"/>
      <c r="F72" s="121"/>
      <c r="G72" s="121"/>
      <c r="H72" s="121"/>
      <c r="I72" s="121"/>
      <c r="J72" s="121"/>
      <c r="K72" s="121"/>
      <c r="L72" s="121"/>
      <c r="M72" s="121"/>
      <c r="N72" s="121"/>
      <c r="O72" s="121"/>
      <c r="P72" s="121"/>
      <c r="Q72" s="121"/>
      <c r="R72" s="121"/>
      <c r="S72" s="121"/>
    </row>
    <row r="73" spans="1:19">
      <c r="A73" s="121"/>
      <c r="B73" s="121" t="s">
        <v>61</v>
      </c>
      <c r="C73" s="121"/>
      <c r="D73" s="121"/>
      <c r="E73" s="121"/>
      <c r="F73" s="121"/>
      <c r="G73" s="121"/>
      <c r="H73" s="121"/>
      <c r="I73" s="121"/>
      <c r="J73" s="121"/>
      <c r="K73" s="121"/>
      <c r="L73" s="121"/>
      <c r="M73" s="121"/>
      <c r="N73" s="121"/>
      <c r="O73" s="121"/>
      <c r="P73" s="121"/>
      <c r="Q73" s="121"/>
      <c r="R73" s="121"/>
      <c r="S73" s="121"/>
    </row>
    <row r="74" spans="1:19">
      <c r="A74" s="121"/>
      <c r="B74" s="121" t="s">
        <v>62</v>
      </c>
      <c r="C74" s="121"/>
      <c r="D74" s="121"/>
      <c r="E74" s="121"/>
      <c r="F74" s="121"/>
      <c r="G74" s="121"/>
      <c r="H74" s="121"/>
      <c r="I74" s="121"/>
      <c r="J74" s="121"/>
      <c r="K74" s="121"/>
      <c r="L74" s="121"/>
      <c r="M74" s="121"/>
      <c r="N74" s="121"/>
      <c r="O74" s="121"/>
      <c r="P74" s="121"/>
      <c r="Q74" s="121"/>
      <c r="R74" s="121"/>
      <c r="S74" s="121"/>
    </row>
    <row r="75" spans="1:19">
      <c r="A75" s="121"/>
      <c r="B75" s="121" t="s">
        <v>63</v>
      </c>
      <c r="C75" s="121"/>
      <c r="D75" s="121"/>
      <c r="E75" s="121"/>
      <c r="F75" s="121"/>
      <c r="G75" s="121"/>
      <c r="H75" s="121"/>
      <c r="I75" s="121"/>
      <c r="J75" s="121"/>
      <c r="K75" s="121"/>
      <c r="L75" s="121"/>
      <c r="M75" s="121"/>
      <c r="N75" s="121"/>
      <c r="O75" s="121"/>
      <c r="P75" s="121"/>
      <c r="Q75" s="121"/>
      <c r="R75" s="121"/>
      <c r="S75" s="121"/>
    </row>
    <row r="76" spans="1:19">
      <c r="A76" s="121"/>
      <c r="B76" s="121" t="s">
        <v>64</v>
      </c>
      <c r="C76" s="121"/>
      <c r="D76" s="121"/>
      <c r="E76" s="121"/>
      <c r="F76" s="121"/>
      <c r="G76" s="121"/>
      <c r="H76" s="121"/>
      <c r="I76" s="121"/>
      <c r="J76" s="121"/>
      <c r="K76" s="121"/>
      <c r="L76" s="121"/>
      <c r="M76" s="121"/>
      <c r="N76" s="121"/>
      <c r="O76" s="121"/>
      <c r="P76" s="121"/>
      <c r="Q76" s="121"/>
      <c r="R76" s="121"/>
      <c r="S76" s="121"/>
    </row>
    <row r="77" spans="1:19">
      <c r="A77" s="121"/>
      <c r="B77" s="121"/>
      <c r="C77" s="121"/>
      <c r="D77" s="121"/>
      <c r="E77" s="121"/>
      <c r="F77" s="121"/>
      <c r="G77" s="121"/>
      <c r="H77" s="121"/>
      <c r="I77" s="121"/>
      <c r="J77" s="121"/>
      <c r="K77" s="121"/>
      <c r="L77" s="121"/>
      <c r="M77" s="121"/>
      <c r="N77" s="121"/>
      <c r="O77" s="121"/>
      <c r="P77" s="121"/>
      <c r="Q77" s="121"/>
      <c r="R77" s="121"/>
      <c r="S77" s="121"/>
    </row>
    <row r="78" spans="1:19">
      <c r="A78" s="121"/>
      <c r="B78" s="121" t="s">
        <v>65</v>
      </c>
      <c r="C78" s="121"/>
      <c r="D78" s="121"/>
      <c r="E78" s="121"/>
      <c r="F78" s="121"/>
      <c r="G78" s="121"/>
      <c r="H78" s="121"/>
      <c r="I78" s="121"/>
      <c r="J78" s="121"/>
      <c r="K78" s="121"/>
      <c r="L78" s="121"/>
      <c r="M78" s="121"/>
      <c r="N78" s="121"/>
      <c r="O78" s="121"/>
      <c r="P78" s="121"/>
      <c r="Q78" s="121"/>
      <c r="R78" s="121"/>
      <c r="S78" s="121"/>
    </row>
    <row r="79" spans="1:19">
      <c r="A79" s="121"/>
      <c r="B79" s="121" t="s">
        <v>66</v>
      </c>
      <c r="C79" s="121"/>
      <c r="D79" s="121"/>
      <c r="E79" s="121"/>
      <c r="F79" s="121"/>
      <c r="G79" s="121"/>
      <c r="H79" s="121"/>
      <c r="I79" s="121"/>
      <c r="J79" s="121"/>
      <c r="K79" s="121"/>
      <c r="L79" s="121"/>
      <c r="M79" s="121"/>
      <c r="N79" s="121"/>
      <c r="O79" s="121"/>
      <c r="P79" s="121"/>
      <c r="Q79" s="121"/>
      <c r="R79" s="121"/>
      <c r="S79" s="121"/>
    </row>
    <row r="80" spans="1:19">
      <c r="A80" s="121"/>
      <c r="B80" s="121" t="s">
        <v>67</v>
      </c>
      <c r="C80" s="121"/>
      <c r="D80" s="121"/>
      <c r="E80" s="121"/>
      <c r="F80" s="121"/>
      <c r="G80" s="121"/>
      <c r="H80" s="121"/>
      <c r="I80" s="121"/>
      <c r="J80" s="121"/>
      <c r="K80" s="121"/>
      <c r="L80" s="121"/>
      <c r="M80" s="121"/>
      <c r="N80" s="121"/>
      <c r="O80" s="121"/>
      <c r="P80" s="121"/>
      <c r="Q80" s="121"/>
      <c r="R80" s="121"/>
      <c r="S80" s="121"/>
    </row>
    <row r="81" spans="1:19">
      <c r="A81" s="121"/>
      <c r="B81" s="121" t="s">
        <v>68</v>
      </c>
      <c r="C81" s="121"/>
      <c r="D81" s="121"/>
      <c r="E81" s="121"/>
      <c r="F81" s="121"/>
      <c r="G81" s="121"/>
      <c r="H81" s="121"/>
      <c r="I81" s="121"/>
      <c r="J81" s="121"/>
      <c r="K81" s="121"/>
      <c r="L81" s="121"/>
      <c r="M81" s="121"/>
      <c r="N81" s="121"/>
      <c r="O81" s="121"/>
      <c r="P81" s="121"/>
      <c r="Q81" s="121"/>
      <c r="R81" s="121"/>
      <c r="S81" s="121"/>
    </row>
    <row r="82" spans="1:19">
      <c r="A82" s="121"/>
      <c r="B82" s="121"/>
      <c r="C82" s="121"/>
      <c r="D82" s="121"/>
      <c r="E82" s="121"/>
      <c r="F82" s="121"/>
      <c r="G82" s="121"/>
      <c r="H82" s="121"/>
      <c r="I82" s="121"/>
      <c r="J82" s="121"/>
      <c r="K82" s="121"/>
      <c r="L82" s="121"/>
      <c r="M82" s="121"/>
      <c r="N82" s="121"/>
      <c r="O82" s="121"/>
      <c r="P82" s="121"/>
      <c r="Q82" s="121"/>
      <c r="R82" s="121"/>
      <c r="S82" s="121"/>
    </row>
    <row r="83" spans="1:19">
      <c r="A83" s="121"/>
      <c r="B83" s="121" t="s">
        <v>69</v>
      </c>
      <c r="C83" s="121"/>
      <c r="D83" s="121"/>
      <c r="E83" s="121"/>
      <c r="F83" s="121"/>
      <c r="G83" s="121"/>
      <c r="H83" s="121"/>
      <c r="I83" s="121"/>
      <c r="J83" s="121"/>
      <c r="K83" s="121"/>
      <c r="L83" s="121"/>
      <c r="M83" s="121"/>
      <c r="N83" s="121"/>
      <c r="O83" s="121"/>
      <c r="P83" s="121"/>
      <c r="Q83" s="121"/>
      <c r="R83" s="121"/>
      <c r="S83" s="121"/>
    </row>
    <row r="84" spans="1:19">
      <c r="A84" s="121"/>
      <c r="B84" s="121" t="s">
        <v>70</v>
      </c>
      <c r="C84" s="121"/>
      <c r="D84" s="121"/>
      <c r="E84" s="121"/>
      <c r="F84" s="121"/>
      <c r="G84" s="121"/>
      <c r="H84" s="121"/>
      <c r="I84" s="121"/>
      <c r="J84" s="121"/>
      <c r="K84" s="121"/>
      <c r="L84" s="121"/>
      <c r="M84" s="121"/>
      <c r="N84" s="121"/>
      <c r="O84" s="121"/>
      <c r="P84" s="121"/>
      <c r="Q84" s="121"/>
      <c r="R84" s="121"/>
      <c r="S84" s="121"/>
    </row>
    <row r="85" spans="1:19">
      <c r="A85" s="121"/>
      <c r="B85" s="121"/>
      <c r="C85" s="121"/>
      <c r="D85" s="121"/>
      <c r="E85" s="121"/>
      <c r="F85" s="121"/>
      <c r="G85" s="121"/>
      <c r="H85" s="121"/>
      <c r="I85" s="121"/>
      <c r="J85" s="121"/>
      <c r="K85" s="121"/>
      <c r="L85" s="121"/>
      <c r="M85" s="121"/>
      <c r="N85" s="121"/>
      <c r="O85" s="121"/>
      <c r="P85" s="121"/>
      <c r="Q85" s="121"/>
      <c r="R85" s="121"/>
      <c r="S85" s="121"/>
    </row>
    <row r="86" spans="1:19">
      <c r="A86" s="121"/>
      <c r="B86" s="121" t="s">
        <v>71</v>
      </c>
      <c r="C86" s="121"/>
      <c r="D86" s="121"/>
      <c r="E86" s="121"/>
      <c r="F86" s="121"/>
      <c r="G86" s="121"/>
      <c r="H86" s="121"/>
      <c r="I86" s="121"/>
      <c r="J86" s="121"/>
      <c r="K86" s="121"/>
      <c r="L86" s="121"/>
      <c r="M86" s="121"/>
      <c r="N86" s="121"/>
      <c r="O86" s="121"/>
      <c r="P86" s="121"/>
      <c r="Q86" s="121"/>
      <c r="R86" s="121"/>
      <c r="S86" s="121"/>
    </row>
    <row r="87" spans="1:19">
      <c r="A87" s="121"/>
      <c r="B87" s="121" t="s">
        <v>72</v>
      </c>
      <c r="C87" s="121"/>
      <c r="D87" s="121"/>
      <c r="E87" s="121"/>
      <c r="F87" s="121"/>
      <c r="G87" s="121"/>
      <c r="H87" s="121"/>
      <c r="I87" s="121"/>
      <c r="J87" s="121"/>
      <c r="K87" s="121"/>
      <c r="L87" s="121"/>
      <c r="M87" s="121"/>
      <c r="N87" s="121"/>
      <c r="O87" s="121"/>
      <c r="P87" s="121"/>
      <c r="Q87" s="121"/>
      <c r="R87" s="121"/>
      <c r="S87" s="121"/>
    </row>
    <row r="88" spans="1:19">
      <c r="A88" s="121"/>
      <c r="B88" s="121" t="s">
        <v>73</v>
      </c>
      <c r="C88" s="121"/>
      <c r="D88" s="121"/>
      <c r="E88" s="121"/>
      <c r="F88" s="121"/>
      <c r="G88" s="121"/>
      <c r="H88" s="121"/>
      <c r="I88" s="121"/>
      <c r="J88" s="121"/>
      <c r="K88" s="121"/>
      <c r="L88" s="121"/>
      <c r="M88" s="121"/>
      <c r="N88" s="121"/>
      <c r="O88" s="121"/>
      <c r="P88" s="121"/>
      <c r="Q88" s="121"/>
      <c r="R88" s="121"/>
      <c r="S88" s="121"/>
    </row>
    <row r="89" spans="1:19">
      <c r="A89" s="121"/>
      <c r="B89" s="121" t="s">
        <v>74</v>
      </c>
      <c r="C89" s="121"/>
      <c r="D89" s="121"/>
      <c r="E89" s="121"/>
      <c r="F89" s="121"/>
      <c r="G89" s="121"/>
      <c r="H89" s="121"/>
      <c r="I89" s="121"/>
      <c r="J89" s="121"/>
      <c r="K89" s="121"/>
      <c r="L89" s="121"/>
      <c r="M89" s="121"/>
      <c r="N89" s="121"/>
      <c r="O89" s="121"/>
      <c r="P89" s="121"/>
      <c r="Q89" s="121"/>
      <c r="R89" s="121"/>
      <c r="S89" s="121"/>
    </row>
    <row r="90" spans="1:19">
      <c r="A90" s="121"/>
      <c r="B90" s="121" t="s">
        <v>75</v>
      </c>
      <c r="C90" s="121"/>
      <c r="D90" s="121"/>
      <c r="E90" s="121"/>
      <c r="F90" s="121"/>
      <c r="G90" s="121"/>
      <c r="H90" s="121"/>
      <c r="I90" s="121"/>
      <c r="J90" s="121"/>
      <c r="K90" s="121"/>
      <c r="L90" s="121"/>
      <c r="M90" s="121"/>
      <c r="N90" s="121"/>
      <c r="O90" s="121"/>
      <c r="P90" s="121"/>
      <c r="Q90" s="121"/>
      <c r="R90" s="121"/>
      <c r="S90" s="121"/>
    </row>
    <row r="91" spans="1:19">
      <c r="A91" s="121"/>
      <c r="B91" s="121" t="s">
        <v>76</v>
      </c>
      <c r="C91" s="121"/>
      <c r="D91" s="121"/>
      <c r="E91" s="121"/>
      <c r="F91" s="121"/>
      <c r="G91" s="121"/>
      <c r="H91" s="121"/>
      <c r="I91" s="121"/>
      <c r="J91" s="121"/>
      <c r="K91" s="121"/>
      <c r="L91" s="121"/>
      <c r="M91" s="121"/>
      <c r="N91" s="121"/>
      <c r="O91" s="121"/>
      <c r="P91" s="121"/>
      <c r="Q91" s="121"/>
      <c r="R91" s="121"/>
      <c r="S91" s="121"/>
    </row>
    <row r="92" spans="1:19">
      <c r="A92" s="121"/>
      <c r="B92" s="121" t="s">
        <v>77</v>
      </c>
      <c r="C92" s="121"/>
      <c r="D92" s="121"/>
      <c r="E92" s="121"/>
      <c r="F92" s="121"/>
      <c r="G92" s="121"/>
      <c r="H92" s="121"/>
      <c r="I92" s="121"/>
      <c r="J92" s="121"/>
      <c r="K92" s="121"/>
      <c r="L92" s="121"/>
      <c r="M92" s="121"/>
      <c r="N92" s="121"/>
      <c r="O92" s="121"/>
      <c r="P92" s="121"/>
      <c r="Q92" s="121"/>
      <c r="R92" s="121"/>
      <c r="S92" s="121"/>
    </row>
    <row r="93" spans="1:19">
      <c r="A93" s="121"/>
      <c r="B93" s="121" t="s">
        <v>78</v>
      </c>
      <c r="C93" s="121"/>
      <c r="D93" s="121"/>
      <c r="E93" s="121"/>
      <c r="F93" s="121"/>
      <c r="G93" s="121"/>
      <c r="H93" s="121"/>
      <c r="I93" s="121"/>
      <c r="J93" s="121"/>
      <c r="K93" s="121"/>
      <c r="L93" s="121"/>
      <c r="M93" s="121"/>
      <c r="N93" s="121"/>
      <c r="O93" s="121"/>
      <c r="P93" s="121"/>
      <c r="Q93" s="121"/>
      <c r="R93" s="121"/>
      <c r="S93" s="121"/>
    </row>
    <row r="94" spans="1:19">
      <c r="A94" s="121"/>
      <c r="B94" s="121" t="s">
        <v>79</v>
      </c>
      <c r="C94" s="121"/>
      <c r="D94" s="121"/>
      <c r="E94" s="121"/>
      <c r="F94" s="121"/>
      <c r="G94" s="121"/>
      <c r="H94" s="121"/>
      <c r="I94" s="121"/>
      <c r="J94" s="121"/>
      <c r="K94" s="121"/>
      <c r="L94" s="121"/>
      <c r="M94" s="121"/>
      <c r="N94" s="121"/>
      <c r="O94" s="121"/>
      <c r="P94" s="121"/>
      <c r="Q94" s="121"/>
      <c r="R94" s="121"/>
      <c r="S94" s="121"/>
    </row>
    <row r="95" spans="1:19">
      <c r="A95" s="121"/>
      <c r="B95" s="121" t="s">
        <v>80</v>
      </c>
      <c r="C95" s="121"/>
      <c r="D95" s="121"/>
      <c r="E95" s="121"/>
      <c r="F95" s="121"/>
      <c r="G95" s="121"/>
      <c r="H95" s="121"/>
      <c r="I95" s="121"/>
      <c r="J95" s="121"/>
      <c r="K95" s="121"/>
      <c r="L95" s="121"/>
      <c r="M95" s="121"/>
      <c r="N95" s="121"/>
      <c r="O95" s="121"/>
      <c r="P95" s="121"/>
      <c r="Q95" s="121"/>
      <c r="R95" s="121"/>
      <c r="S95" s="121"/>
    </row>
    <row r="96" spans="1:19">
      <c r="A96" s="121"/>
      <c r="B96" s="121" t="s">
        <v>81</v>
      </c>
      <c r="C96" s="121"/>
      <c r="D96" s="121"/>
      <c r="E96" s="121"/>
      <c r="F96" s="121"/>
      <c r="G96" s="121"/>
      <c r="H96" s="121"/>
      <c r="I96" s="121"/>
      <c r="J96" s="121"/>
      <c r="K96" s="121"/>
      <c r="L96" s="121"/>
      <c r="M96" s="121"/>
      <c r="N96" s="121"/>
      <c r="O96" s="121"/>
      <c r="P96" s="121"/>
      <c r="Q96" s="121"/>
      <c r="R96" s="121"/>
      <c r="S96" s="121"/>
    </row>
    <row r="97" spans="1:19">
      <c r="A97" s="121"/>
      <c r="B97" s="121" t="s">
        <v>82</v>
      </c>
      <c r="C97" s="121"/>
      <c r="D97" s="121"/>
      <c r="E97" s="121"/>
      <c r="F97" s="121"/>
      <c r="G97" s="121"/>
      <c r="H97" s="121"/>
      <c r="I97" s="121"/>
      <c r="J97" s="121"/>
      <c r="K97" s="121"/>
      <c r="L97" s="121"/>
      <c r="M97" s="121"/>
      <c r="N97" s="121"/>
      <c r="O97" s="121"/>
      <c r="P97" s="121"/>
      <c r="Q97" s="121"/>
      <c r="R97" s="121"/>
      <c r="S97" s="121"/>
    </row>
    <row r="98" spans="1:19">
      <c r="A98" s="121"/>
      <c r="B98" s="121" t="s">
        <v>83</v>
      </c>
      <c r="C98" s="121"/>
      <c r="D98" s="121"/>
      <c r="E98" s="121"/>
      <c r="F98" s="121"/>
      <c r="G98" s="121"/>
      <c r="H98" s="121"/>
      <c r="I98" s="121"/>
      <c r="J98" s="121"/>
      <c r="K98" s="121"/>
      <c r="L98" s="121"/>
      <c r="M98" s="121"/>
      <c r="N98" s="121"/>
      <c r="O98" s="121"/>
      <c r="P98" s="121"/>
      <c r="Q98" s="121"/>
      <c r="R98" s="121"/>
      <c r="S98" s="121"/>
    </row>
    <row r="99" spans="1:19">
      <c r="A99" s="121"/>
      <c r="B99" s="121" t="s">
        <v>84</v>
      </c>
      <c r="C99" s="121"/>
      <c r="D99" s="121"/>
      <c r="E99" s="121"/>
      <c r="F99" s="121"/>
      <c r="G99" s="121"/>
      <c r="H99" s="121"/>
      <c r="I99" s="121"/>
      <c r="J99" s="121"/>
      <c r="K99" s="121"/>
      <c r="L99" s="121"/>
      <c r="M99" s="121"/>
      <c r="N99" s="121"/>
      <c r="O99" s="121"/>
      <c r="P99" s="121"/>
      <c r="Q99" s="121"/>
      <c r="R99" s="121"/>
      <c r="S99" s="121"/>
    </row>
    <row r="100" spans="1:19">
      <c r="A100" s="121"/>
      <c r="B100" s="121"/>
      <c r="C100" s="121"/>
      <c r="D100" s="121"/>
      <c r="E100" s="121"/>
      <c r="F100" s="121"/>
      <c r="G100" s="121"/>
      <c r="H100" s="121"/>
      <c r="I100" s="121"/>
      <c r="J100" s="121"/>
      <c r="K100" s="121"/>
      <c r="L100" s="121"/>
      <c r="M100" s="121"/>
      <c r="N100" s="121"/>
      <c r="O100" s="121"/>
      <c r="P100" s="121"/>
      <c r="Q100" s="121"/>
      <c r="R100" s="121"/>
      <c r="S100" s="121"/>
    </row>
    <row r="101" spans="1:19">
      <c r="A101" s="121"/>
      <c r="B101" s="121" t="s">
        <v>85</v>
      </c>
      <c r="C101" s="121"/>
      <c r="D101" s="121"/>
      <c r="E101" s="121"/>
      <c r="F101" s="121"/>
      <c r="G101" s="121"/>
      <c r="H101" s="121"/>
      <c r="I101" s="121"/>
      <c r="J101" s="121"/>
      <c r="K101" s="121"/>
      <c r="L101" s="121"/>
      <c r="M101" s="121"/>
      <c r="N101" s="121"/>
      <c r="O101" s="121"/>
      <c r="P101" s="121"/>
      <c r="Q101" s="121"/>
      <c r="R101" s="121"/>
      <c r="S101" s="121"/>
    </row>
    <row r="102" spans="1:19">
      <c r="A102" s="121"/>
      <c r="B102" s="121" t="s">
        <v>86</v>
      </c>
      <c r="C102" s="121"/>
      <c r="D102" s="121"/>
      <c r="E102" s="121"/>
      <c r="F102" s="121"/>
      <c r="G102" s="121"/>
      <c r="H102" s="121"/>
      <c r="I102" s="121"/>
      <c r="J102" s="121"/>
      <c r="K102" s="121"/>
      <c r="L102" s="121"/>
      <c r="M102" s="121"/>
      <c r="N102" s="121"/>
      <c r="O102" s="121"/>
      <c r="P102" s="121"/>
      <c r="Q102" s="121"/>
      <c r="R102" s="121"/>
      <c r="S102" s="121"/>
    </row>
    <row r="103" spans="1:19">
      <c r="A103" s="121"/>
      <c r="B103" s="121"/>
      <c r="C103" s="121"/>
      <c r="D103" s="121"/>
      <c r="E103" s="121"/>
      <c r="F103" s="121"/>
      <c r="G103" s="121"/>
      <c r="H103" s="121"/>
      <c r="I103" s="121"/>
      <c r="J103" s="121"/>
      <c r="K103" s="121"/>
      <c r="L103" s="121"/>
      <c r="M103" s="121"/>
      <c r="N103" s="121"/>
      <c r="O103" s="121"/>
      <c r="P103" s="121"/>
      <c r="Q103" s="121"/>
      <c r="R103" s="121"/>
      <c r="S103" s="121"/>
    </row>
    <row r="104" spans="1:19">
      <c r="A104" s="121"/>
      <c r="B104" s="121" t="s">
        <v>87</v>
      </c>
      <c r="C104" s="121"/>
      <c r="D104" s="121"/>
      <c r="E104" s="121"/>
      <c r="F104" s="121"/>
      <c r="G104" s="121"/>
      <c r="H104" s="121"/>
      <c r="I104" s="121"/>
      <c r="J104" s="121"/>
      <c r="K104" s="121"/>
      <c r="L104" s="121"/>
      <c r="M104" s="121"/>
      <c r="N104" s="121"/>
      <c r="O104" s="121"/>
      <c r="P104" s="121"/>
      <c r="Q104" s="121"/>
      <c r="R104" s="121"/>
      <c r="S104" s="121"/>
    </row>
    <row r="105" spans="1:19">
      <c r="A105" s="121"/>
      <c r="B105" s="121" t="s">
        <v>88</v>
      </c>
      <c r="C105" s="121"/>
      <c r="D105" s="121"/>
      <c r="E105" s="121"/>
      <c r="F105" s="121"/>
      <c r="G105" s="121"/>
      <c r="H105" s="121"/>
      <c r="I105" s="121"/>
      <c r="J105" s="121"/>
      <c r="K105" s="121"/>
      <c r="L105" s="121"/>
      <c r="M105" s="121"/>
      <c r="N105" s="121"/>
      <c r="O105" s="121"/>
      <c r="P105" s="121"/>
      <c r="Q105" s="121"/>
      <c r="R105" s="121"/>
      <c r="S105" s="121"/>
    </row>
    <row r="106" spans="1:19">
      <c r="A106" s="121"/>
      <c r="B106" s="121" t="s">
        <v>89</v>
      </c>
      <c r="C106" s="121"/>
      <c r="D106" s="121"/>
      <c r="E106" s="121"/>
      <c r="F106" s="121"/>
      <c r="G106" s="121"/>
      <c r="H106" s="121"/>
      <c r="I106" s="121"/>
      <c r="J106" s="121"/>
      <c r="K106" s="121"/>
      <c r="L106" s="121"/>
      <c r="M106" s="121"/>
      <c r="N106" s="121"/>
      <c r="O106" s="121"/>
      <c r="P106" s="121"/>
      <c r="Q106" s="121"/>
      <c r="R106" s="121"/>
      <c r="S106" s="121"/>
    </row>
    <row r="107" spans="1:19">
      <c r="A107" s="121"/>
      <c r="B107" s="121" t="s">
        <v>90</v>
      </c>
      <c r="C107" s="121"/>
      <c r="D107" s="121"/>
      <c r="E107" s="121"/>
      <c r="F107" s="121"/>
      <c r="G107" s="121"/>
      <c r="H107" s="121"/>
      <c r="I107" s="121"/>
      <c r="J107" s="121"/>
      <c r="K107" s="121"/>
      <c r="L107" s="121"/>
      <c r="M107" s="121"/>
      <c r="N107" s="121"/>
      <c r="O107" s="121"/>
      <c r="P107" s="121"/>
      <c r="Q107" s="121"/>
      <c r="R107" s="121"/>
      <c r="S107" s="121"/>
    </row>
    <row r="108" spans="1:19">
      <c r="A108" s="121"/>
      <c r="B108" s="121" t="s">
        <v>91</v>
      </c>
      <c r="C108" s="121"/>
      <c r="D108" s="121"/>
      <c r="E108" s="121"/>
      <c r="F108" s="121"/>
      <c r="G108" s="121"/>
      <c r="H108" s="121"/>
      <c r="I108" s="121"/>
      <c r="J108" s="121"/>
      <c r="K108" s="121"/>
      <c r="L108" s="121"/>
      <c r="M108" s="121"/>
      <c r="N108" s="121"/>
      <c r="O108" s="121"/>
      <c r="P108" s="121"/>
      <c r="Q108" s="121"/>
      <c r="R108" s="121"/>
      <c r="S108" s="121"/>
    </row>
    <row r="109" spans="1:19">
      <c r="A109" s="121"/>
      <c r="B109" s="121"/>
      <c r="C109" s="121"/>
      <c r="D109" s="121"/>
      <c r="E109" s="121"/>
      <c r="F109" s="121"/>
      <c r="G109" s="121"/>
      <c r="H109" s="121"/>
      <c r="I109" s="121"/>
      <c r="J109" s="121"/>
      <c r="K109" s="121"/>
      <c r="L109" s="121"/>
      <c r="M109" s="121"/>
      <c r="N109" s="121"/>
      <c r="O109" s="121"/>
      <c r="P109" s="121"/>
      <c r="Q109" s="121"/>
      <c r="R109" s="121"/>
      <c r="S109" s="121"/>
    </row>
    <row r="110" spans="1:19">
      <c r="A110" s="121"/>
      <c r="B110" s="121" t="s">
        <v>50</v>
      </c>
      <c r="C110" s="121"/>
      <c r="D110" s="121"/>
      <c r="E110" s="121"/>
      <c r="F110" s="121"/>
      <c r="G110" s="121"/>
      <c r="H110" s="121"/>
      <c r="I110" s="121"/>
      <c r="J110" s="121"/>
      <c r="K110" s="121"/>
      <c r="L110" s="121"/>
      <c r="M110" s="121"/>
      <c r="N110" s="121"/>
      <c r="O110" s="121"/>
      <c r="P110" s="121"/>
      <c r="Q110" s="121"/>
      <c r="R110" s="121"/>
      <c r="S110" s="121"/>
    </row>
    <row r="111" spans="1:19">
      <c r="A111" s="121"/>
      <c r="B111" s="121"/>
      <c r="C111" s="121"/>
      <c r="D111" s="121"/>
      <c r="E111" s="121"/>
      <c r="F111" s="121"/>
      <c r="G111" s="121"/>
      <c r="H111" s="121"/>
      <c r="I111" s="121"/>
      <c r="J111" s="121"/>
      <c r="K111" s="121"/>
      <c r="L111" s="121"/>
      <c r="M111" s="121"/>
      <c r="N111" s="121"/>
      <c r="O111" s="121"/>
      <c r="P111" s="121"/>
      <c r="Q111" s="121"/>
      <c r="R111" s="121"/>
      <c r="S111" s="121"/>
    </row>
  </sheetData>
  <sheetProtection algorithmName="SHA-512" hashValue="P25FaC129ODLqCXZUZzS7ExiQdrolnMAoT/ocPoJ0RadTaWaVJRZKlA1pJ1e3TdVF/rwd5iIj47VOGtQtycbHw==" saltValue="VPJKuX2cCPOQz612klnZYg==" spinCount="100000" sheet="1" objects="1" scenarios="1" selectLockedCells="1"/>
  <phoneticPr fontId="1"/>
  <pageMargins left="0.7" right="0.7" top="0.75" bottom="0.75" header="0.3" footer="0.3"/>
  <pageSetup paperSize="9" scale="55" fitToHeight="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72"/>
  <sheetViews>
    <sheetView showGridLines="0" topLeftCell="A50" zoomScaleNormal="100" zoomScaleSheetLayoutView="100" workbookViewId="0"/>
  </sheetViews>
  <sheetFormatPr baseColWidth="10" defaultColWidth="9" defaultRowHeight="12" customHeight="1"/>
  <cols>
    <col min="1" max="4" width="2.5703125" style="125" customWidth="1"/>
    <col min="5" max="12" width="18.42578125" style="125" customWidth="1"/>
    <col min="13" max="13" width="19.5703125" style="125" bestFit="1" customWidth="1"/>
    <col min="14" max="14" width="2.42578125" style="125" customWidth="1"/>
    <col min="15" max="16384" width="9" style="125"/>
  </cols>
  <sheetData>
    <row r="1" spans="1:17" ht="25.5">
      <c r="A1" s="124" t="s">
        <v>261</v>
      </c>
      <c r="B1" s="18"/>
      <c r="C1" s="18"/>
      <c r="D1" s="18"/>
      <c r="E1" s="18"/>
      <c r="F1" s="18"/>
      <c r="G1" s="18"/>
      <c r="H1" s="18"/>
      <c r="I1" s="18"/>
      <c r="J1" s="18"/>
      <c r="K1" s="18"/>
      <c r="L1" s="18"/>
      <c r="M1" s="18" t="s">
        <v>367</v>
      </c>
      <c r="N1" s="18"/>
      <c r="O1" s="18"/>
      <c r="P1" s="18"/>
      <c r="Q1" s="18"/>
    </row>
    <row r="2" spans="1:17" ht="12" customHeight="1" thickBot="1">
      <c r="A2" s="18"/>
      <c r="B2" s="18"/>
      <c r="C2" s="18"/>
      <c r="D2" s="18"/>
      <c r="E2" s="18"/>
      <c r="F2" s="18"/>
      <c r="G2" s="18"/>
      <c r="H2" s="18"/>
      <c r="I2" s="18"/>
      <c r="J2" s="18"/>
      <c r="K2" s="18"/>
      <c r="L2" s="18"/>
      <c r="M2" s="18" t="s">
        <v>351</v>
      </c>
      <c r="N2" s="18"/>
      <c r="O2" s="18"/>
      <c r="P2" s="18"/>
      <c r="Q2" s="18"/>
    </row>
    <row r="3" spans="1:17" ht="12" customHeight="1" thickTop="1">
      <c r="A3" s="140" t="s">
        <v>366</v>
      </c>
      <c r="B3" s="141"/>
      <c r="C3" s="141"/>
      <c r="D3" s="141"/>
      <c r="E3" s="141"/>
      <c r="F3" s="141"/>
      <c r="G3" s="141"/>
      <c r="H3" s="141"/>
      <c r="I3" s="141"/>
      <c r="J3" s="141"/>
      <c r="K3" s="141"/>
      <c r="L3" s="142"/>
      <c r="M3" s="18"/>
      <c r="N3" s="18"/>
      <c r="O3" s="18"/>
      <c r="P3" s="18"/>
      <c r="Q3" s="18"/>
    </row>
    <row r="4" spans="1:17" ht="24" customHeight="1">
      <c r="A4" s="143"/>
      <c r="B4" s="144"/>
      <c r="C4" s="156" t="s">
        <v>362</v>
      </c>
      <c r="D4" s="157"/>
      <c r="E4" s="157"/>
      <c r="F4" s="157"/>
      <c r="G4" s="157"/>
      <c r="H4" s="157"/>
      <c r="I4" s="157"/>
      <c r="J4" s="157"/>
      <c r="K4" s="157"/>
      <c r="L4" s="158"/>
      <c r="M4" s="18"/>
      <c r="N4" s="18"/>
      <c r="O4" s="18"/>
      <c r="P4" s="18"/>
      <c r="Q4" s="18"/>
    </row>
    <row r="5" spans="1:17" ht="24" customHeight="1">
      <c r="A5" s="145"/>
      <c r="B5" s="146"/>
      <c r="C5" s="159" t="s">
        <v>363</v>
      </c>
      <c r="D5" s="160"/>
      <c r="E5" s="160"/>
      <c r="F5" s="160"/>
      <c r="G5" s="160"/>
      <c r="H5" s="160"/>
      <c r="I5" s="160"/>
      <c r="J5" s="160"/>
      <c r="K5" s="160"/>
      <c r="L5" s="161"/>
      <c r="M5" s="18"/>
      <c r="N5" s="18"/>
      <c r="O5" s="18"/>
      <c r="P5" s="18"/>
      <c r="Q5" s="18"/>
    </row>
    <row r="6" spans="1:17" ht="12" customHeight="1">
      <c r="A6" s="143"/>
      <c r="B6" s="144"/>
      <c r="C6" s="162" t="s">
        <v>364</v>
      </c>
      <c r="D6" s="163"/>
      <c r="E6" s="163"/>
      <c r="F6" s="163"/>
      <c r="G6" s="163"/>
      <c r="H6" s="163"/>
      <c r="I6" s="163"/>
      <c r="J6" s="163"/>
      <c r="K6" s="163"/>
      <c r="L6" s="164"/>
      <c r="M6" s="18"/>
      <c r="N6" s="18"/>
      <c r="O6" s="18"/>
      <c r="P6" s="18"/>
      <c r="Q6" s="18"/>
    </row>
    <row r="7" spans="1:17" ht="12" customHeight="1">
      <c r="A7" s="145"/>
      <c r="B7" s="146"/>
      <c r="C7" s="146" t="s">
        <v>365</v>
      </c>
      <c r="D7" s="146"/>
      <c r="E7" s="146"/>
      <c r="F7" s="146"/>
      <c r="G7" s="146"/>
      <c r="H7" s="146"/>
      <c r="I7" s="146"/>
      <c r="J7" s="146"/>
      <c r="K7" s="146"/>
      <c r="L7" s="147"/>
      <c r="M7" s="18"/>
      <c r="N7" s="18"/>
      <c r="O7" s="18"/>
      <c r="P7" s="18"/>
      <c r="Q7" s="18"/>
    </row>
    <row r="8" spans="1:17" ht="24" customHeight="1" thickBot="1">
      <c r="A8" s="148"/>
      <c r="B8" s="149"/>
      <c r="C8" s="165" t="s">
        <v>369</v>
      </c>
      <c r="D8" s="166"/>
      <c r="E8" s="166"/>
      <c r="F8" s="166"/>
      <c r="G8" s="166"/>
      <c r="H8" s="166"/>
      <c r="I8" s="166"/>
      <c r="J8" s="166"/>
      <c r="K8" s="166"/>
      <c r="L8" s="167"/>
      <c r="M8" s="18"/>
      <c r="N8" s="18"/>
      <c r="O8" s="18"/>
      <c r="P8" s="18"/>
      <c r="Q8" s="18"/>
    </row>
    <row r="9" spans="1:17" ht="12" customHeight="1" thickTop="1">
      <c r="A9" s="150"/>
      <c r="B9" s="150"/>
      <c r="C9" s="151"/>
      <c r="D9" s="152"/>
      <c r="E9" s="152"/>
      <c r="F9" s="152"/>
      <c r="G9" s="152"/>
      <c r="H9" s="152"/>
      <c r="I9" s="152"/>
      <c r="J9" s="152"/>
      <c r="K9" s="152"/>
      <c r="L9" s="152"/>
      <c r="M9" s="18"/>
      <c r="N9" s="18"/>
      <c r="O9" s="18"/>
      <c r="P9" s="18"/>
      <c r="Q9" s="18"/>
    </row>
    <row r="10" spans="1:17" ht="12" customHeight="1">
      <c r="A10" s="18" t="s">
        <v>167</v>
      </c>
      <c r="B10" s="18"/>
      <c r="C10" s="18"/>
      <c r="D10" s="18"/>
      <c r="E10" s="18"/>
      <c r="F10" s="18"/>
      <c r="G10" s="18"/>
      <c r="H10" s="18"/>
      <c r="I10" s="18"/>
      <c r="J10" s="18"/>
      <c r="K10" s="18"/>
      <c r="L10" s="18"/>
      <c r="M10" s="18"/>
      <c r="N10" s="18"/>
      <c r="O10" s="18"/>
      <c r="P10" s="18"/>
      <c r="Q10" s="18"/>
    </row>
    <row r="11" spans="1:17" ht="12" customHeight="1">
      <c r="A11" s="18"/>
      <c r="B11" s="18"/>
      <c r="C11" s="18" t="s">
        <v>99</v>
      </c>
      <c r="D11" s="18"/>
      <c r="E11" s="18"/>
      <c r="F11" s="18"/>
      <c r="G11" s="18"/>
      <c r="H11" s="18"/>
      <c r="I11" s="18"/>
      <c r="J11" s="18"/>
      <c r="K11" s="18"/>
      <c r="L11" s="18"/>
      <c r="M11" s="18"/>
      <c r="N11" s="18"/>
      <c r="O11" s="18"/>
      <c r="P11" s="18"/>
      <c r="Q11" s="18"/>
    </row>
    <row r="12" spans="1:17" ht="12" customHeight="1">
      <c r="A12" s="18"/>
      <c r="B12" s="18"/>
      <c r="C12" s="18"/>
      <c r="D12" s="18" t="s">
        <v>100</v>
      </c>
      <c r="E12" s="18"/>
      <c r="F12" s="18"/>
      <c r="G12" s="18"/>
      <c r="H12" s="18"/>
      <c r="I12" s="18"/>
      <c r="J12" s="18"/>
      <c r="K12" s="18"/>
      <c r="L12" s="18"/>
      <c r="M12" s="18"/>
      <c r="N12" s="18"/>
      <c r="O12" s="18"/>
      <c r="P12" s="18"/>
      <c r="Q12" s="18"/>
    </row>
    <row r="13" spans="1:17" ht="12" customHeight="1">
      <c r="A13" s="18"/>
      <c r="B13" s="18"/>
      <c r="C13" s="18"/>
      <c r="D13" s="18" t="s">
        <v>101</v>
      </c>
      <c r="E13" s="18"/>
      <c r="F13" s="18"/>
      <c r="G13" s="18"/>
      <c r="H13" s="18"/>
      <c r="I13" s="18"/>
      <c r="J13" s="18"/>
      <c r="K13" s="18"/>
      <c r="L13" s="18"/>
      <c r="M13" s="18"/>
      <c r="N13" s="18"/>
      <c r="O13" s="18"/>
      <c r="P13" s="18"/>
      <c r="Q13" s="18"/>
    </row>
    <row r="14" spans="1:17" ht="12" customHeight="1">
      <c r="A14" s="18"/>
      <c r="B14" s="18"/>
      <c r="C14" s="18"/>
      <c r="D14" s="18" t="s">
        <v>102</v>
      </c>
      <c r="E14" s="18"/>
      <c r="F14" s="18"/>
      <c r="G14" s="18"/>
      <c r="H14" s="18"/>
      <c r="I14" s="18"/>
      <c r="J14" s="18"/>
      <c r="K14" s="18"/>
      <c r="L14" s="18"/>
      <c r="M14" s="18"/>
      <c r="N14" s="18"/>
      <c r="O14" s="18"/>
      <c r="P14" s="18"/>
      <c r="Q14" s="18"/>
    </row>
    <row r="15" spans="1:17" ht="12" customHeight="1">
      <c r="A15" s="18"/>
      <c r="B15" s="18"/>
      <c r="C15" s="18"/>
      <c r="D15" s="18"/>
      <c r="E15" s="18"/>
      <c r="F15" s="18"/>
      <c r="G15" s="18"/>
      <c r="H15" s="18"/>
      <c r="I15" s="18"/>
      <c r="J15" s="18"/>
      <c r="K15" s="18"/>
      <c r="L15" s="18"/>
      <c r="M15" s="18"/>
      <c r="N15" s="18"/>
      <c r="O15" s="18"/>
      <c r="P15" s="18"/>
      <c r="Q15" s="18"/>
    </row>
    <row r="16" spans="1:17" ht="12" customHeight="1">
      <c r="A16" s="18"/>
      <c r="B16" s="18"/>
      <c r="C16" s="18" t="s">
        <v>103</v>
      </c>
      <c r="D16" s="18"/>
      <c r="E16" s="18"/>
      <c r="F16" s="18"/>
      <c r="G16" s="18"/>
      <c r="H16" s="18"/>
      <c r="I16" s="18"/>
      <c r="J16" s="18"/>
      <c r="K16" s="18"/>
      <c r="L16" s="18"/>
      <c r="M16" s="18"/>
      <c r="N16" s="18"/>
      <c r="O16" s="18"/>
      <c r="P16" s="18"/>
      <c r="Q16" s="18"/>
    </row>
    <row r="17" spans="1:17" ht="12" customHeight="1">
      <c r="A17" s="18"/>
      <c r="B17" s="18"/>
      <c r="C17" s="18"/>
      <c r="D17" s="18" t="s">
        <v>168</v>
      </c>
      <c r="E17" s="18"/>
      <c r="F17" s="18"/>
      <c r="G17" s="18"/>
      <c r="H17" s="18"/>
      <c r="I17" s="18"/>
      <c r="J17" s="18"/>
      <c r="K17" s="18"/>
      <c r="L17" s="18"/>
      <c r="M17" s="18"/>
      <c r="N17" s="18"/>
      <c r="O17" s="18"/>
      <c r="P17" s="18"/>
      <c r="Q17" s="18"/>
    </row>
    <row r="18" spans="1:17" ht="12" customHeight="1">
      <c r="A18" s="18"/>
      <c r="B18" s="18"/>
      <c r="C18" s="18"/>
      <c r="D18" s="18" t="s">
        <v>169</v>
      </c>
      <c r="E18" s="18"/>
      <c r="F18" s="18"/>
      <c r="G18" s="18"/>
      <c r="H18" s="18"/>
      <c r="I18" s="18"/>
      <c r="J18" s="18"/>
      <c r="K18" s="18"/>
      <c r="L18" s="18"/>
      <c r="M18" s="18"/>
      <c r="N18" s="18"/>
      <c r="O18" s="18"/>
      <c r="P18" s="18"/>
      <c r="Q18" s="18"/>
    </row>
    <row r="19" spans="1:17" ht="12" customHeight="1">
      <c r="A19" s="18"/>
      <c r="B19" s="18"/>
      <c r="C19" s="18"/>
      <c r="D19" s="18" t="s">
        <v>170</v>
      </c>
      <c r="E19" s="18"/>
      <c r="F19" s="18"/>
      <c r="G19" s="18"/>
      <c r="H19" s="18"/>
      <c r="I19" s="18"/>
      <c r="J19" s="18"/>
      <c r="K19" s="18"/>
      <c r="L19" s="18"/>
      <c r="M19" s="18"/>
      <c r="N19" s="18"/>
      <c r="O19" s="18"/>
      <c r="P19" s="18"/>
      <c r="Q19" s="18"/>
    </row>
    <row r="20" spans="1:17" ht="12" customHeight="1">
      <c r="A20" s="18"/>
      <c r="B20" s="18"/>
      <c r="C20" s="18"/>
      <c r="D20" s="18"/>
      <c r="E20" s="18"/>
      <c r="F20" s="18"/>
      <c r="G20" s="18"/>
      <c r="H20" s="18"/>
      <c r="I20" s="18"/>
      <c r="J20" s="18"/>
      <c r="K20" s="18"/>
      <c r="L20" s="18"/>
      <c r="M20" s="18"/>
      <c r="N20" s="18"/>
      <c r="O20" s="18"/>
      <c r="P20" s="18"/>
      <c r="Q20" s="18"/>
    </row>
    <row r="21" spans="1:17" ht="12" customHeight="1">
      <c r="A21" s="18"/>
      <c r="B21" s="18"/>
      <c r="C21" s="18"/>
      <c r="D21" s="18"/>
      <c r="E21" s="126" t="s">
        <v>262</v>
      </c>
      <c r="F21" s="126"/>
      <c r="G21" s="126"/>
      <c r="H21" s="126"/>
      <c r="I21" s="126"/>
      <c r="J21" s="126"/>
      <c r="K21" s="126"/>
      <c r="L21" s="126"/>
      <c r="M21" s="18"/>
      <c r="N21" s="18"/>
      <c r="O21" s="18"/>
      <c r="P21" s="18"/>
      <c r="Q21" s="18"/>
    </row>
    <row r="22" spans="1:17" ht="12" customHeight="1">
      <c r="A22" s="18"/>
      <c r="B22" s="18"/>
      <c r="C22" s="18"/>
      <c r="D22" s="18"/>
      <c r="E22" s="126" t="s">
        <v>263</v>
      </c>
      <c r="F22" s="126"/>
      <c r="G22" s="126"/>
      <c r="H22" s="126"/>
      <c r="I22" s="126"/>
      <c r="J22" s="126"/>
      <c r="K22" s="126"/>
      <c r="L22" s="126"/>
      <c r="M22" s="18"/>
      <c r="N22" s="18"/>
      <c r="O22" s="18"/>
      <c r="P22" s="18"/>
      <c r="Q22" s="18"/>
    </row>
    <row r="23" spans="1:17" ht="12" customHeight="1">
      <c r="A23" s="18"/>
      <c r="B23" s="18"/>
      <c r="C23" s="18"/>
      <c r="D23" s="18"/>
      <c r="E23" s="18"/>
      <c r="F23" s="18"/>
      <c r="G23" s="18"/>
      <c r="H23" s="18"/>
      <c r="I23" s="18"/>
      <c r="J23" s="18"/>
      <c r="K23" s="18"/>
      <c r="L23" s="18"/>
      <c r="M23" s="18"/>
      <c r="N23" s="18"/>
      <c r="O23" s="18"/>
      <c r="P23" s="18"/>
      <c r="Q23" s="18"/>
    </row>
    <row r="24" spans="1:17" ht="12" customHeight="1">
      <c r="A24" s="18"/>
      <c r="B24" s="18"/>
      <c r="C24" s="18"/>
      <c r="D24" s="18"/>
      <c r="E24" s="18"/>
      <c r="F24" s="18"/>
      <c r="G24" s="18"/>
      <c r="H24" s="18"/>
      <c r="I24" s="18"/>
      <c r="J24" s="18"/>
      <c r="K24" s="18"/>
      <c r="L24" s="18"/>
      <c r="M24" s="18"/>
      <c r="N24" s="18"/>
      <c r="O24" s="18"/>
      <c r="P24" s="18"/>
      <c r="Q24" s="18"/>
    </row>
    <row r="25" spans="1:17" ht="12" customHeight="1">
      <c r="A25" s="18" t="s">
        <v>171</v>
      </c>
      <c r="B25" s="18"/>
      <c r="C25" s="18"/>
      <c r="D25" s="18"/>
      <c r="E25" s="18"/>
      <c r="F25" s="18"/>
      <c r="G25" s="18"/>
      <c r="H25" s="18"/>
      <c r="I25" s="18"/>
      <c r="J25" s="18"/>
      <c r="K25" s="18"/>
      <c r="L25" s="18"/>
      <c r="M25" s="18"/>
      <c r="N25" s="18"/>
      <c r="O25" s="18"/>
      <c r="P25" s="18"/>
      <c r="Q25" s="18"/>
    </row>
    <row r="26" spans="1:17" ht="12" customHeight="1">
      <c r="A26" s="18"/>
      <c r="B26" s="18" t="s">
        <v>172</v>
      </c>
      <c r="C26" s="18"/>
      <c r="D26" s="18"/>
      <c r="E26" s="18"/>
      <c r="F26" s="18"/>
      <c r="G26" s="18"/>
      <c r="H26" s="18"/>
      <c r="I26" s="18"/>
      <c r="J26" s="18"/>
      <c r="K26" s="18"/>
      <c r="L26" s="18"/>
      <c r="M26" s="18"/>
      <c r="N26" s="18"/>
      <c r="O26" s="18"/>
      <c r="P26" s="18"/>
      <c r="Q26" s="18"/>
    </row>
    <row r="27" spans="1:17" ht="12" customHeight="1">
      <c r="A27" s="18"/>
      <c r="B27" s="18"/>
      <c r="C27" s="18" t="s">
        <v>104</v>
      </c>
      <c r="D27" s="18"/>
      <c r="E27" s="18"/>
      <c r="F27" s="18"/>
      <c r="G27" s="18"/>
      <c r="H27" s="18"/>
      <c r="I27" s="18"/>
      <c r="J27" s="18"/>
      <c r="K27" s="18"/>
      <c r="L27" s="18"/>
      <c r="M27" s="18"/>
      <c r="N27" s="18"/>
      <c r="O27" s="18"/>
      <c r="P27" s="18"/>
      <c r="Q27" s="18"/>
    </row>
    <row r="28" spans="1:17" ht="12" customHeight="1">
      <c r="A28" s="18"/>
      <c r="B28" s="18"/>
      <c r="C28" s="18"/>
      <c r="D28" s="127" t="s">
        <v>173</v>
      </c>
      <c r="E28" s="18"/>
      <c r="F28" s="18"/>
      <c r="G28" s="18"/>
      <c r="H28" s="18"/>
      <c r="I28" s="18"/>
      <c r="J28" s="18"/>
      <c r="K28" s="18"/>
      <c r="L28" s="18"/>
      <c r="M28" s="18"/>
      <c r="N28" s="18"/>
      <c r="O28" s="18"/>
      <c r="P28" s="18"/>
      <c r="Q28" s="18"/>
    </row>
    <row r="29" spans="1:17" ht="12" customHeight="1">
      <c r="A29" s="18"/>
      <c r="B29" s="18"/>
      <c r="C29" s="18"/>
      <c r="D29" s="127" t="s">
        <v>174</v>
      </c>
      <c r="E29" s="18"/>
      <c r="F29" s="18"/>
      <c r="G29" s="18"/>
      <c r="H29" s="18"/>
      <c r="I29" s="18"/>
      <c r="J29" s="18"/>
      <c r="K29" s="18"/>
      <c r="L29" s="18"/>
      <c r="M29" s="18"/>
      <c r="N29" s="18"/>
      <c r="O29" s="18"/>
      <c r="P29" s="18"/>
      <c r="Q29" s="18"/>
    </row>
    <row r="30" spans="1:17" ht="12" customHeight="1">
      <c r="A30" s="18"/>
      <c r="B30" s="18"/>
      <c r="C30" s="18"/>
      <c r="D30" s="18" t="s">
        <v>105</v>
      </c>
      <c r="E30" s="18"/>
      <c r="F30" s="18"/>
      <c r="G30" s="18"/>
      <c r="H30" s="18"/>
      <c r="I30" s="18"/>
      <c r="J30" s="18"/>
      <c r="K30" s="18"/>
      <c r="L30" s="18"/>
      <c r="M30" s="18"/>
      <c r="N30" s="18"/>
      <c r="O30" s="18"/>
      <c r="P30" s="18"/>
      <c r="Q30" s="18"/>
    </row>
    <row r="31" spans="1:17" ht="12" customHeight="1">
      <c r="A31" s="18"/>
      <c r="B31" s="18"/>
      <c r="C31" s="18"/>
      <c r="D31" s="18" t="s">
        <v>106</v>
      </c>
      <c r="E31" s="18"/>
      <c r="F31" s="18"/>
      <c r="G31" s="18"/>
      <c r="H31" s="18"/>
      <c r="I31" s="18"/>
      <c r="J31" s="18"/>
      <c r="K31" s="18"/>
      <c r="L31" s="18"/>
      <c r="M31" s="18"/>
      <c r="N31" s="18"/>
      <c r="O31" s="18"/>
      <c r="P31" s="18"/>
      <c r="Q31" s="18"/>
    </row>
    <row r="32" spans="1:17" ht="12" customHeight="1">
      <c r="A32" s="18"/>
      <c r="B32" s="18"/>
      <c r="C32" s="18"/>
      <c r="D32" s="18"/>
      <c r="E32" s="18"/>
      <c r="F32" s="18"/>
      <c r="G32" s="18"/>
      <c r="H32" s="18"/>
      <c r="I32" s="18"/>
      <c r="J32" s="18"/>
      <c r="K32" s="18"/>
      <c r="L32" s="18"/>
      <c r="M32" s="18"/>
      <c r="N32" s="18"/>
      <c r="O32" s="18"/>
      <c r="P32" s="18"/>
      <c r="Q32" s="18"/>
    </row>
    <row r="33" spans="1:17" ht="12" customHeight="1">
      <c r="A33" s="18"/>
      <c r="B33" s="18"/>
      <c r="C33" s="18" t="s">
        <v>107</v>
      </c>
      <c r="D33" s="18"/>
      <c r="E33" s="18"/>
      <c r="F33" s="18"/>
      <c r="G33" s="18"/>
      <c r="H33" s="18"/>
      <c r="I33" s="18"/>
      <c r="J33" s="18"/>
      <c r="K33" s="18"/>
      <c r="L33" s="18"/>
      <c r="M33" s="18"/>
      <c r="N33" s="18"/>
      <c r="O33" s="18"/>
      <c r="P33" s="18"/>
      <c r="Q33" s="18"/>
    </row>
    <row r="34" spans="1:17" ht="12" customHeight="1">
      <c r="A34" s="18"/>
      <c r="B34" s="18"/>
      <c r="C34" s="18"/>
      <c r="D34" s="18" t="s">
        <v>175</v>
      </c>
      <c r="E34" s="18"/>
      <c r="F34" s="18"/>
      <c r="G34" s="18"/>
      <c r="H34" s="18"/>
      <c r="I34" s="18"/>
      <c r="J34" s="18"/>
      <c r="K34" s="18"/>
      <c r="L34" s="18"/>
      <c r="M34" s="18"/>
      <c r="N34" s="18"/>
      <c r="O34" s="18"/>
      <c r="P34" s="18"/>
      <c r="Q34" s="18"/>
    </row>
    <row r="35" spans="1:17" ht="12" customHeight="1">
      <c r="A35" s="18"/>
      <c r="B35" s="18"/>
      <c r="C35" s="18"/>
      <c r="D35" s="18" t="s">
        <v>176</v>
      </c>
      <c r="E35" s="18"/>
      <c r="F35" s="18"/>
      <c r="G35" s="18"/>
      <c r="H35" s="18"/>
      <c r="I35" s="18"/>
      <c r="J35" s="18"/>
      <c r="K35" s="18"/>
      <c r="L35" s="18"/>
      <c r="M35" s="18"/>
      <c r="N35" s="18"/>
      <c r="O35" s="18"/>
      <c r="P35" s="18"/>
      <c r="Q35" s="18"/>
    </row>
    <row r="36" spans="1:17" ht="12" customHeight="1">
      <c r="A36" s="18"/>
      <c r="B36" s="18"/>
      <c r="C36" s="18"/>
      <c r="D36" s="18" t="s">
        <v>108</v>
      </c>
      <c r="E36" s="18"/>
      <c r="F36" s="18"/>
      <c r="G36" s="18"/>
      <c r="H36" s="18"/>
      <c r="I36" s="18"/>
      <c r="J36" s="18"/>
      <c r="K36" s="18"/>
      <c r="L36" s="18"/>
      <c r="M36" s="18"/>
      <c r="N36" s="18"/>
      <c r="O36" s="18"/>
      <c r="P36" s="18"/>
      <c r="Q36" s="18"/>
    </row>
    <row r="37" spans="1:17" ht="12" customHeight="1">
      <c r="A37" s="18"/>
      <c r="B37" s="18"/>
      <c r="C37" s="18"/>
      <c r="D37" s="18" t="s">
        <v>48</v>
      </c>
      <c r="E37" s="18"/>
      <c r="F37" s="18"/>
      <c r="G37" s="18"/>
      <c r="H37" s="18"/>
      <c r="I37" s="18"/>
      <c r="J37" s="18"/>
      <c r="K37" s="18"/>
      <c r="L37" s="18"/>
      <c r="M37" s="18"/>
      <c r="N37" s="18"/>
      <c r="O37" s="18"/>
      <c r="P37" s="18"/>
      <c r="Q37" s="18"/>
    </row>
    <row r="38" spans="1:17" ht="12" customHeight="1">
      <c r="A38" s="18"/>
      <c r="B38" s="18"/>
      <c r="C38" s="18"/>
      <c r="D38" s="18"/>
      <c r="E38" s="18"/>
      <c r="F38" s="18"/>
      <c r="G38" s="18"/>
      <c r="H38" s="18"/>
      <c r="I38" s="18"/>
      <c r="J38" s="18"/>
      <c r="K38" s="18"/>
      <c r="L38" s="18"/>
      <c r="M38" s="18"/>
      <c r="N38" s="18"/>
      <c r="O38" s="18"/>
      <c r="P38" s="18"/>
      <c r="Q38" s="18"/>
    </row>
    <row r="39" spans="1:17" ht="12" customHeight="1">
      <c r="A39" s="18"/>
      <c r="B39" s="18"/>
      <c r="C39" s="18"/>
      <c r="D39" s="18"/>
      <c r="E39" s="18"/>
      <c r="F39" s="18"/>
      <c r="G39" s="18"/>
      <c r="H39" s="18"/>
      <c r="I39" s="18"/>
      <c r="J39" s="18"/>
      <c r="K39" s="18"/>
      <c r="L39" s="18"/>
      <c r="M39" s="18"/>
      <c r="N39" s="18"/>
      <c r="O39" s="18"/>
      <c r="P39" s="18"/>
      <c r="Q39" s="18"/>
    </row>
    <row r="40" spans="1:17" ht="12" customHeight="1">
      <c r="A40" s="18"/>
      <c r="B40" s="18"/>
      <c r="C40" s="18" t="s">
        <v>177</v>
      </c>
      <c r="D40" s="18"/>
      <c r="E40" s="18"/>
      <c r="F40" s="18"/>
      <c r="G40" s="18"/>
      <c r="H40" s="18"/>
      <c r="I40" s="18"/>
      <c r="J40" s="18"/>
      <c r="K40" s="18"/>
      <c r="L40" s="18"/>
      <c r="M40" s="18"/>
      <c r="N40" s="18"/>
      <c r="O40" s="18"/>
      <c r="P40" s="18"/>
      <c r="Q40" s="18"/>
    </row>
    <row r="41" spans="1:17" ht="12" customHeight="1">
      <c r="A41" s="18"/>
      <c r="B41" s="18"/>
      <c r="C41" s="18"/>
      <c r="D41" s="18" t="s">
        <v>109</v>
      </c>
      <c r="E41" s="18"/>
      <c r="F41" s="18"/>
      <c r="G41" s="18"/>
      <c r="H41" s="18"/>
      <c r="I41" s="18"/>
      <c r="J41" s="18"/>
      <c r="K41" s="18"/>
      <c r="L41" s="18"/>
      <c r="M41" s="18"/>
      <c r="N41" s="18"/>
      <c r="O41" s="18"/>
      <c r="P41" s="18"/>
      <c r="Q41" s="18"/>
    </row>
    <row r="42" spans="1:17" ht="12" customHeight="1">
      <c r="A42" s="18"/>
      <c r="B42" s="18"/>
      <c r="C42" s="18"/>
      <c r="D42" s="18" t="s">
        <v>110</v>
      </c>
      <c r="E42" s="18"/>
      <c r="F42" s="18"/>
      <c r="G42" s="18"/>
      <c r="H42" s="18"/>
      <c r="I42" s="18"/>
      <c r="J42" s="18"/>
      <c r="K42" s="18"/>
      <c r="L42" s="18"/>
      <c r="M42" s="18"/>
      <c r="N42" s="18"/>
      <c r="O42" s="18"/>
      <c r="P42" s="18"/>
      <c r="Q42" s="18"/>
    </row>
    <row r="43" spans="1:17" ht="12" customHeight="1">
      <c r="A43" s="18"/>
      <c r="B43" s="18"/>
      <c r="C43" s="18"/>
      <c r="D43" s="18" t="s">
        <v>111</v>
      </c>
      <c r="E43" s="18"/>
      <c r="F43" s="18"/>
      <c r="G43" s="18"/>
      <c r="H43" s="18"/>
      <c r="I43" s="18"/>
      <c r="J43" s="18"/>
      <c r="K43" s="18"/>
      <c r="L43" s="18"/>
      <c r="M43" s="18"/>
      <c r="N43" s="18"/>
      <c r="O43" s="18"/>
      <c r="P43" s="18"/>
      <c r="Q43" s="18"/>
    </row>
    <row r="44" spans="1:17" ht="12" customHeight="1">
      <c r="A44" s="18"/>
      <c r="B44" s="18"/>
      <c r="C44" s="18"/>
      <c r="D44" s="18"/>
      <c r="E44" s="18"/>
      <c r="F44" s="18"/>
      <c r="G44" s="18"/>
      <c r="H44" s="18"/>
      <c r="I44" s="18"/>
      <c r="J44" s="18"/>
      <c r="K44" s="18"/>
      <c r="L44" s="18"/>
      <c r="M44" s="18"/>
      <c r="N44" s="18"/>
      <c r="O44" s="18"/>
      <c r="P44" s="18"/>
      <c r="Q44" s="18"/>
    </row>
    <row r="45" spans="1:17" ht="12" customHeight="1">
      <c r="A45" s="18"/>
      <c r="B45" s="18"/>
      <c r="C45" s="18"/>
      <c r="D45" s="18" t="s">
        <v>112</v>
      </c>
      <c r="E45" s="18"/>
      <c r="F45" s="18"/>
      <c r="G45" s="18"/>
      <c r="H45" s="18"/>
      <c r="I45" s="18"/>
      <c r="J45" s="18"/>
      <c r="K45" s="18"/>
      <c r="L45" s="18"/>
      <c r="M45" s="18"/>
      <c r="N45" s="18"/>
      <c r="O45" s="18"/>
      <c r="P45" s="18"/>
      <c r="Q45" s="18"/>
    </row>
    <row r="46" spans="1:17" ht="12" customHeight="1">
      <c r="A46" s="18"/>
      <c r="B46" s="18"/>
      <c r="C46" s="18"/>
      <c r="D46" s="18" t="s">
        <v>178</v>
      </c>
      <c r="E46" s="18"/>
      <c r="F46" s="18"/>
      <c r="G46" s="18"/>
      <c r="H46" s="18"/>
      <c r="I46" s="18"/>
      <c r="J46" s="18"/>
      <c r="K46" s="18"/>
      <c r="L46" s="18"/>
      <c r="M46" s="18"/>
      <c r="N46" s="18"/>
      <c r="O46" s="18"/>
      <c r="P46" s="18"/>
      <c r="Q46" s="18"/>
    </row>
    <row r="47" spans="1:17" ht="12" customHeight="1">
      <c r="A47" s="18"/>
      <c r="B47" s="18"/>
      <c r="C47" s="18"/>
      <c r="D47" s="18" t="s">
        <v>113</v>
      </c>
      <c r="E47" s="18"/>
      <c r="F47" s="18"/>
      <c r="G47" s="18"/>
      <c r="H47" s="18"/>
      <c r="I47" s="18"/>
      <c r="J47" s="18"/>
      <c r="K47" s="18"/>
      <c r="L47" s="18"/>
      <c r="M47" s="18"/>
      <c r="N47" s="18"/>
      <c r="O47" s="18"/>
      <c r="P47" s="18"/>
      <c r="Q47" s="18"/>
    </row>
    <row r="48" spans="1:17" ht="12" customHeight="1">
      <c r="A48" s="18"/>
      <c r="B48" s="18"/>
      <c r="C48" s="18"/>
      <c r="D48" s="18"/>
      <c r="E48" s="18"/>
      <c r="F48" s="18"/>
      <c r="G48" s="18"/>
      <c r="H48" s="18"/>
      <c r="I48" s="18"/>
      <c r="J48" s="18"/>
      <c r="K48" s="18"/>
      <c r="L48" s="18"/>
      <c r="M48" s="18"/>
      <c r="N48" s="18"/>
      <c r="O48" s="18"/>
      <c r="P48" s="18"/>
      <c r="Q48" s="18"/>
    </row>
    <row r="49" spans="1:17" ht="12" customHeight="1">
      <c r="A49" s="18"/>
      <c r="B49" s="18"/>
      <c r="C49" s="18"/>
      <c r="D49" s="18"/>
      <c r="E49" s="18"/>
      <c r="F49" s="18"/>
      <c r="G49" s="18"/>
      <c r="H49" s="18"/>
      <c r="I49" s="18"/>
      <c r="J49" s="18"/>
      <c r="K49" s="18"/>
      <c r="L49" s="18"/>
      <c r="M49" s="18"/>
      <c r="N49" s="18"/>
      <c r="O49" s="18"/>
      <c r="P49" s="18"/>
      <c r="Q49" s="18"/>
    </row>
    <row r="50" spans="1:17" ht="12" customHeight="1">
      <c r="A50" s="18"/>
      <c r="B50" s="18"/>
      <c r="C50" s="18" t="s">
        <v>179</v>
      </c>
      <c r="D50" s="18"/>
      <c r="E50" s="18"/>
      <c r="F50" s="18"/>
      <c r="G50" s="18"/>
      <c r="H50" s="18"/>
      <c r="I50" s="18"/>
      <c r="J50" s="18"/>
      <c r="K50" s="18"/>
      <c r="L50" s="18"/>
      <c r="M50" s="18"/>
      <c r="N50" s="18"/>
      <c r="O50" s="18"/>
      <c r="P50" s="18"/>
      <c r="Q50" s="18"/>
    </row>
    <row r="51" spans="1:17" ht="12" customHeight="1">
      <c r="A51" s="18"/>
      <c r="B51" s="18"/>
      <c r="C51" s="18"/>
      <c r="D51" s="18" t="s">
        <v>114</v>
      </c>
      <c r="E51" s="18"/>
      <c r="F51" s="18"/>
      <c r="G51" s="18"/>
      <c r="H51" s="18"/>
      <c r="I51" s="18"/>
      <c r="J51" s="18"/>
      <c r="K51" s="18"/>
      <c r="L51" s="18"/>
      <c r="M51" s="18"/>
      <c r="N51" s="18"/>
      <c r="O51" s="18"/>
      <c r="P51" s="18"/>
      <c r="Q51" s="18"/>
    </row>
    <row r="52" spans="1:17" ht="12" customHeight="1">
      <c r="A52" s="18"/>
      <c r="B52" s="18"/>
      <c r="C52" s="18"/>
      <c r="D52" s="18" t="s">
        <v>115</v>
      </c>
      <c r="E52" s="18"/>
      <c r="F52" s="18"/>
      <c r="G52" s="18"/>
      <c r="H52" s="18"/>
      <c r="I52" s="18"/>
      <c r="J52" s="18"/>
      <c r="K52" s="18"/>
      <c r="L52" s="18"/>
      <c r="M52" s="18"/>
      <c r="N52" s="18"/>
      <c r="O52" s="18"/>
      <c r="P52" s="18"/>
      <c r="Q52" s="18"/>
    </row>
    <row r="53" spans="1:17" ht="12" customHeight="1">
      <c r="A53" s="18"/>
      <c r="B53" s="18"/>
      <c r="C53" s="18"/>
      <c r="D53" s="18" t="s">
        <v>116</v>
      </c>
      <c r="E53" s="18"/>
      <c r="F53" s="18"/>
      <c r="G53" s="18"/>
      <c r="H53" s="18"/>
      <c r="I53" s="18"/>
      <c r="J53" s="18"/>
      <c r="K53" s="18"/>
      <c r="L53" s="18"/>
      <c r="M53" s="18"/>
      <c r="N53" s="18"/>
      <c r="O53" s="18"/>
      <c r="P53" s="18"/>
      <c r="Q53" s="18"/>
    </row>
    <row r="54" spans="1:17" ht="12" customHeight="1">
      <c r="A54" s="18"/>
      <c r="B54" s="18"/>
      <c r="C54" s="18"/>
      <c r="D54" s="18"/>
      <c r="E54" s="18"/>
      <c r="F54" s="18"/>
      <c r="G54" s="18"/>
      <c r="H54" s="18"/>
      <c r="I54" s="18"/>
      <c r="J54" s="18"/>
      <c r="K54" s="18"/>
      <c r="L54" s="18"/>
      <c r="M54" s="18"/>
      <c r="N54" s="18"/>
      <c r="O54" s="18"/>
      <c r="P54" s="18"/>
      <c r="Q54" s="18"/>
    </row>
    <row r="55" spans="1:17" ht="12" customHeight="1">
      <c r="A55" s="18"/>
      <c r="B55" s="18"/>
      <c r="C55" s="18"/>
      <c r="D55" s="18" t="s">
        <v>45</v>
      </c>
      <c r="E55" s="18"/>
      <c r="F55" s="18"/>
      <c r="G55" s="18"/>
      <c r="H55" s="18"/>
      <c r="I55" s="18"/>
      <c r="J55" s="18"/>
      <c r="K55" s="18"/>
      <c r="L55" s="18"/>
      <c r="M55" s="18"/>
      <c r="N55" s="18"/>
      <c r="O55" s="18"/>
      <c r="P55" s="18"/>
      <c r="Q55" s="18"/>
    </row>
    <row r="56" spans="1:17" ht="12" customHeight="1">
      <c r="A56" s="18"/>
      <c r="B56" s="18"/>
      <c r="C56" s="18"/>
      <c r="D56" s="18" t="s">
        <v>46</v>
      </c>
      <c r="E56" s="18"/>
      <c r="F56" s="18"/>
      <c r="G56" s="18"/>
      <c r="H56" s="18"/>
      <c r="I56" s="18"/>
      <c r="J56" s="18"/>
      <c r="K56" s="18"/>
      <c r="L56" s="18"/>
      <c r="M56" s="18"/>
      <c r="N56" s="18"/>
      <c r="O56" s="18"/>
      <c r="P56" s="18"/>
      <c r="Q56" s="18"/>
    </row>
    <row r="57" spans="1:17" ht="12" customHeight="1">
      <c r="A57" s="18"/>
      <c r="B57" s="18"/>
      <c r="C57" s="18"/>
      <c r="D57" s="18" t="s">
        <v>47</v>
      </c>
      <c r="E57" s="18"/>
      <c r="F57" s="18"/>
      <c r="G57" s="18"/>
      <c r="H57" s="18"/>
      <c r="I57" s="18"/>
      <c r="J57" s="18"/>
      <c r="K57" s="18"/>
      <c r="L57" s="18"/>
      <c r="M57" s="18"/>
      <c r="N57" s="18"/>
      <c r="O57" s="18"/>
      <c r="P57" s="18"/>
      <c r="Q57" s="18"/>
    </row>
    <row r="58" spans="1:17" ht="12" customHeight="1">
      <c r="A58" s="18"/>
      <c r="B58" s="18"/>
      <c r="C58" s="18"/>
      <c r="D58" s="18"/>
      <c r="E58" s="18"/>
      <c r="F58" s="18"/>
      <c r="G58" s="18"/>
      <c r="H58" s="18"/>
      <c r="I58" s="18"/>
      <c r="J58" s="18"/>
      <c r="K58" s="18"/>
      <c r="L58" s="18"/>
      <c r="M58" s="18"/>
      <c r="N58" s="18"/>
      <c r="O58" s="18"/>
      <c r="P58" s="18"/>
      <c r="Q58" s="18"/>
    </row>
    <row r="59" spans="1:17" ht="12" customHeight="1">
      <c r="A59" s="18"/>
      <c r="B59" s="18"/>
      <c r="C59" s="18"/>
      <c r="D59" s="18"/>
      <c r="E59" s="18"/>
      <c r="F59" s="18"/>
      <c r="G59" s="18"/>
      <c r="H59" s="18"/>
      <c r="I59" s="18"/>
      <c r="J59" s="18"/>
      <c r="K59" s="18"/>
      <c r="L59" s="18"/>
      <c r="M59" s="18"/>
      <c r="N59" s="18"/>
      <c r="O59" s="18"/>
      <c r="P59" s="18"/>
      <c r="Q59" s="18"/>
    </row>
    <row r="60" spans="1:17" ht="12" customHeight="1">
      <c r="A60" s="18"/>
      <c r="B60" s="18" t="s">
        <v>180</v>
      </c>
      <c r="C60" s="18"/>
      <c r="D60" s="18"/>
      <c r="E60" s="18"/>
      <c r="F60" s="18"/>
      <c r="G60" s="18"/>
      <c r="H60" s="18"/>
      <c r="I60" s="18"/>
      <c r="J60" s="18"/>
      <c r="K60" s="18"/>
      <c r="L60" s="18"/>
      <c r="M60" s="18"/>
      <c r="N60" s="18"/>
      <c r="O60" s="18"/>
      <c r="P60" s="18"/>
      <c r="Q60" s="18"/>
    </row>
    <row r="61" spans="1:17" ht="12" customHeight="1">
      <c r="A61" s="18"/>
      <c r="B61" s="18"/>
      <c r="C61" s="18" t="s">
        <v>117</v>
      </c>
      <c r="D61" s="18"/>
      <c r="E61" s="18"/>
      <c r="F61" s="18"/>
      <c r="G61" s="18"/>
      <c r="H61" s="18"/>
      <c r="I61" s="18"/>
      <c r="J61" s="18"/>
      <c r="K61" s="18"/>
      <c r="L61" s="18"/>
      <c r="M61" s="18"/>
      <c r="N61" s="18"/>
      <c r="O61" s="18"/>
      <c r="P61" s="18"/>
      <c r="Q61" s="18"/>
    </row>
    <row r="62" spans="1:17" ht="12" customHeight="1">
      <c r="A62" s="18"/>
      <c r="B62" s="18"/>
      <c r="C62" s="18"/>
      <c r="D62" s="18" t="s">
        <v>118</v>
      </c>
      <c r="E62" s="18"/>
      <c r="F62" s="18"/>
      <c r="G62" s="18"/>
      <c r="H62" s="18"/>
      <c r="I62" s="18"/>
      <c r="J62" s="18"/>
      <c r="K62" s="18"/>
      <c r="L62" s="18"/>
      <c r="M62" s="18"/>
      <c r="N62" s="18"/>
      <c r="O62" s="18"/>
      <c r="P62" s="18"/>
      <c r="Q62" s="18"/>
    </row>
    <row r="63" spans="1:17" ht="12" customHeight="1">
      <c r="A63" s="18"/>
      <c r="B63" s="18"/>
      <c r="C63" s="18"/>
      <c r="D63" s="18" t="s">
        <v>119</v>
      </c>
      <c r="E63" s="18"/>
      <c r="F63" s="18"/>
      <c r="G63" s="18"/>
      <c r="H63" s="18"/>
      <c r="I63" s="18"/>
      <c r="J63" s="18"/>
      <c r="K63" s="18"/>
      <c r="L63" s="18"/>
      <c r="M63" s="18"/>
      <c r="N63" s="18"/>
      <c r="O63" s="18"/>
      <c r="P63" s="18"/>
      <c r="Q63" s="18"/>
    </row>
    <row r="64" spans="1:17" ht="12" customHeight="1">
      <c r="A64" s="18"/>
      <c r="B64" s="18"/>
      <c r="C64" s="18"/>
      <c r="D64" s="18" t="s">
        <v>120</v>
      </c>
      <c r="E64" s="18"/>
      <c r="F64" s="18"/>
      <c r="G64" s="18"/>
      <c r="H64" s="18"/>
      <c r="I64" s="18"/>
      <c r="J64" s="18"/>
      <c r="K64" s="18"/>
      <c r="L64" s="18"/>
      <c r="M64" s="18"/>
      <c r="N64" s="18"/>
      <c r="O64" s="18"/>
      <c r="P64" s="18"/>
      <c r="Q64" s="18"/>
    </row>
    <row r="65" spans="1:17" ht="12" customHeight="1">
      <c r="A65" s="18"/>
      <c r="B65" s="18"/>
      <c r="C65" s="18"/>
      <c r="D65" s="18"/>
      <c r="E65" s="18"/>
      <c r="F65" s="18"/>
      <c r="G65" s="18"/>
      <c r="H65" s="18"/>
      <c r="I65" s="18"/>
      <c r="J65" s="18"/>
      <c r="K65" s="18"/>
      <c r="L65" s="18"/>
      <c r="M65" s="18"/>
      <c r="N65" s="18"/>
      <c r="O65" s="18"/>
      <c r="P65" s="18"/>
      <c r="Q65" s="18"/>
    </row>
    <row r="66" spans="1:17" ht="12" customHeight="1">
      <c r="A66" s="18"/>
      <c r="B66" s="18"/>
      <c r="C66" s="18" t="s">
        <v>121</v>
      </c>
      <c r="D66" s="18"/>
      <c r="E66" s="18"/>
      <c r="F66" s="18"/>
      <c r="G66" s="18"/>
      <c r="H66" s="18"/>
      <c r="I66" s="18"/>
      <c r="J66" s="18"/>
      <c r="K66" s="18"/>
      <c r="L66" s="18"/>
      <c r="M66" s="18"/>
      <c r="N66" s="18"/>
      <c r="O66" s="18"/>
      <c r="P66" s="18"/>
      <c r="Q66" s="18"/>
    </row>
    <row r="67" spans="1:17" ht="12" customHeight="1">
      <c r="A67" s="18"/>
      <c r="B67" s="18"/>
      <c r="C67" s="18"/>
      <c r="D67" s="18" t="s">
        <v>122</v>
      </c>
      <c r="E67" s="18"/>
      <c r="F67" s="18"/>
      <c r="G67" s="18"/>
      <c r="H67" s="18"/>
      <c r="I67" s="18"/>
      <c r="J67" s="18"/>
      <c r="K67" s="18"/>
      <c r="L67" s="18"/>
      <c r="M67" s="18"/>
      <c r="N67" s="18"/>
      <c r="O67" s="18"/>
      <c r="P67" s="18"/>
      <c r="Q67" s="18"/>
    </row>
    <row r="68" spans="1:17" ht="12" customHeight="1">
      <c r="A68" s="18"/>
      <c r="B68" s="18"/>
      <c r="C68" s="18"/>
      <c r="D68" s="18" t="s">
        <v>181</v>
      </c>
      <c r="E68" s="18"/>
      <c r="F68" s="18"/>
      <c r="G68" s="18"/>
      <c r="H68" s="18"/>
      <c r="I68" s="18"/>
      <c r="J68" s="18"/>
      <c r="K68" s="18"/>
      <c r="L68" s="18"/>
      <c r="M68" s="18"/>
      <c r="N68" s="18"/>
      <c r="O68" s="18"/>
      <c r="P68" s="18"/>
      <c r="Q68" s="18"/>
    </row>
    <row r="69" spans="1:17" ht="12" customHeight="1">
      <c r="A69" s="18"/>
      <c r="B69" s="18"/>
      <c r="C69" s="18"/>
      <c r="D69" s="18" t="s">
        <v>182</v>
      </c>
      <c r="E69" s="18"/>
      <c r="F69" s="18"/>
      <c r="G69" s="18"/>
      <c r="H69" s="18"/>
      <c r="I69" s="18"/>
      <c r="J69" s="18"/>
      <c r="K69" s="18"/>
      <c r="L69" s="18"/>
      <c r="M69" s="18"/>
      <c r="N69" s="18"/>
      <c r="O69" s="18"/>
      <c r="P69" s="18"/>
      <c r="Q69" s="18"/>
    </row>
    <row r="70" spans="1:17" ht="12" customHeight="1">
      <c r="A70" s="18"/>
      <c r="B70" s="18"/>
      <c r="C70" s="18"/>
      <c r="D70" s="18" t="s">
        <v>123</v>
      </c>
      <c r="E70" s="18"/>
      <c r="F70" s="18"/>
      <c r="G70" s="18"/>
      <c r="H70" s="18"/>
      <c r="I70" s="18"/>
      <c r="J70" s="18"/>
      <c r="K70" s="18"/>
      <c r="L70" s="18"/>
      <c r="M70" s="18"/>
      <c r="N70" s="18"/>
      <c r="O70" s="18"/>
      <c r="P70" s="18"/>
      <c r="Q70" s="18"/>
    </row>
    <row r="71" spans="1:17" ht="12" customHeight="1">
      <c r="A71" s="18"/>
      <c r="B71" s="18"/>
      <c r="C71" s="18"/>
      <c r="D71" s="18"/>
      <c r="E71" s="18"/>
      <c r="F71" s="18"/>
      <c r="G71" s="18"/>
      <c r="H71" s="18"/>
      <c r="I71" s="18"/>
      <c r="J71" s="18"/>
      <c r="K71" s="18"/>
      <c r="L71" s="18"/>
      <c r="M71" s="18"/>
      <c r="N71" s="18"/>
      <c r="O71" s="18"/>
      <c r="P71" s="18"/>
      <c r="Q71" s="18"/>
    </row>
    <row r="72" spans="1:17" ht="12" customHeight="1">
      <c r="A72" s="18"/>
      <c r="B72" s="18"/>
      <c r="C72" s="18"/>
      <c r="D72" s="18"/>
      <c r="E72" s="18"/>
      <c r="F72" s="18"/>
      <c r="G72" s="18"/>
      <c r="H72" s="18"/>
      <c r="I72" s="18"/>
      <c r="J72" s="18"/>
      <c r="K72" s="18"/>
      <c r="L72" s="18"/>
      <c r="M72" s="18"/>
      <c r="N72" s="18"/>
      <c r="O72" s="18"/>
      <c r="P72" s="18"/>
      <c r="Q72" s="18"/>
    </row>
  </sheetData>
  <sheetProtection algorithmName="SHA-512" hashValue="Ich7GMGiKB6Fv1f8gKcgpLtQ5bapTCTtn/IVzKKF++vUilp0J7RZARaTwCFmdMR+Kc1/Mp6gNHeyKD12T3rLjQ==" saltValue="vrCRbcpUhJPbhof3/ItHNA==" spinCount="100000" sheet="1" objects="1" scenarios="1"/>
  <mergeCells count="4">
    <mergeCell ref="C4:L4"/>
    <mergeCell ref="C5:L5"/>
    <mergeCell ref="C6:L6"/>
    <mergeCell ref="C8:L8"/>
  </mergeCells>
  <phoneticPr fontId="1"/>
  <hyperlinks>
    <hyperlink ref="C8" r:id="rId1" location="toolsSubMenu" display="https://www.rohm.com/document-link/calculation-sheet?url=/products/power-management/switching-regulators/integrated-fet/buck-converters-synchronous/bd9p105muf-c-product#toolsSubMenu" xr:uid="{00000000-0004-0000-0100-000000000000}"/>
    <hyperlink ref="C8:L8" r:id="rId2" display="https://www.rohm.com/products/power-management/switching-regulators/integrated-fet/buck-converters-nonsynchronous/bd9g500efj-la-product" xr:uid="{00000000-0004-0000-0100-000001000000}"/>
  </hyperlinks>
  <pageMargins left="0.7" right="0.7" top="0.75" bottom="0.75" header="0.3" footer="0.3"/>
  <pageSetup paperSize="9" scale="61"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U173"/>
  <sheetViews>
    <sheetView showGridLines="0" topLeftCell="A38" zoomScaleNormal="100" zoomScaleSheetLayoutView="100" workbookViewId="0">
      <selection activeCell="N163" sqref="N163"/>
    </sheetView>
  </sheetViews>
  <sheetFormatPr baseColWidth="10" defaultColWidth="9" defaultRowHeight="12"/>
  <cols>
    <col min="1" max="2" width="9" style="64"/>
    <col min="3" max="3" width="65.5703125" style="64" customWidth="1"/>
    <col min="4" max="4" width="16.5703125" style="64" customWidth="1"/>
    <col min="5" max="5" width="10.5703125" style="64" customWidth="1"/>
    <col min="6" max="6" width="8.5703125" style="64" customWidth="1"/>
    <col min="7" max="7" width="14.5703125" style="64" customWidth="1"/>
    <col min="8" max="8" width="11.5703125" style="64" customWidth="1"/>
    <col min="9" max="9" width="9.5703125" style="64" customWidth="1"/>
    <col min="10" max="17" width="9" style="64" customWidth="1"/>
    <col min="18" max="18" width="9.140625" style="64" customWidth="1"/>
    <col min="19" max="19" width="0" style="64" hidden="1" customWidth="1"/>
    <col min="20" max="20" width="13.28515625" style="64" hidden="1" customWidth="1"/>
    <col min="21" max="26" width="0" style="64" hidden="1" customWidth="1"/>
    <col min="27" max="16384" width="9" style="64"/>
  </cols>
  <sheetData>
    <row r="1" spans="1:21" ht="25.5">
      <c r="A1" s="16" t="str">
        <f>'How to use'!A1</f>
        <v>BD9G500EFJ-LA Calculation Sheet</v>
      </c>
      <c r="B1" s="17"/>
      <c r="C1" s="17"/>
      <c r="D1" s="17"/>
      <c r="E1" s="17"/>
      <c r="F1" s="17"/>
      <c r="G1" s="17"/>
      <c r="H1" s="17"/>
      <c r="I1" s="17"/>
      <c r="J1" s="17"/>
      <c r="K1" s="17"/>
      <c r="L1" s="17"/>
      <c r="M1" s="17"/>
      <c r="N1" s="17" t="str">
        <f>'How to use'!M1</f>
        <v>REV.001 20210827</v>
      </c>
      <c r="O1" s="17"/>
      <c r="P1" s="17"/>
      <c r="Q1" s="17"/>
      <c r="R1" s="17"/>
      <c r="S1" s="119"/>
      <c r="T1" s="119"/>
      <c r="U1" s="119"/>
    </row>
    <row r="2" spans="1:21">
      <c r="A2" s="17"/>
      <c r="B2" s="17"/>
      <c r="C2" s="17"/>
      <c r="D2" s="17"/>
      <c r="E2" s="17"/>
      <c r="F2" s="17"/>
      <c r="G2" s="17"/>
      <c r="H2" s="17"/>
      <c r="I2" s="17"/>
      <c r="J2" s="17"/>
      <c r="K2" s="17"/>
      <c r="L2" s="17"/>
      <c r="M2" s="17"/>
      <c r="N2" s="17" t="str">
        <f>'How to use'!M2</f>
        <v>©2021 ROHM Co., LTD.</v>
      </c>
      <c r="O2" s="17"/>
      <c r="P2" s="17"/>
      <c r="Q2" s="17"/>
      <c r="R2" s="17"/>
      <c r="S2" s="119"/>
      <c r="T2" s="119"/>
      <c r="U2" s="119"/>
    </row>
    <row r="3" spans="1:21">
      <c r="A3" s="17"/>
      <c r="B3" s="18" t="s">
        <v>39</v>
      </c>
      <c r="C3" s="17"/>
      <c r="D3" s="17"/>
      <c r="E3" s="17"/>
      <c r="F3" s="17"/>
      <c r="G3" s="17"/>
      <c r="H3" s="17"/>
      <c r="I3" s="17"/>
      <c r="J3" s="17"/>
      <c r="K3" s="17"/>
      <c r="L3" s="17"/>
      <c r="M3" s="17"/>
      <c r="N3" s="17"/>
      <c r="O3" s="17"/>
      <c r="P3" s="17"/>
      <c r="Q3" s="17"/>
      <c r="R3" s="17"/>
      <c r="S3" s="119"/>
      <c r="T3" s="119"/>
      <c r="U3" s="119"/>
    </row>
    <row r="4" spans="1:21">
      <c r="A4" s="17"/>
      <c r="B4" s="18" t="s">
        <v>40</v>
      </c>
      <c r="C4" s="17"/>
      <c r="D4" s="17"/>
      <c r="E4" s="17"/>
      <c r="F4" s="17"/>
      <c r="G4" s="17"/>
      <c r="H4" s="17"/>
      <c r="I4" s="17"/>
      <c r="J4" s="17"/>
      <c r="K4" s="17"/>
      <c r="L4" s="17"/>
      <c r="M4" s="17"/>
      <c r="N4" s="17"/>
      <c r="O4" s="17"/>
      <c r="P4" s="17"/>
      <c r="Q4" s="17"/>
      <c r="R4" s="17"/>
      <c r="S4" s="119"/>
      <c r="T4" s="119"/>
      <c r="U4" s="119"/>
    </row>
    <row r="5" spans="1:21">
      <c r="A5" s="17"/>
      <c r="B5" s="139" t="s">
        <v>357</v>
      </c>
      <c r="C5" s="17"/>
      <c r="D5" s="17"/>
      <c r="E5" s="17"/>
      <c r="F5" s="17"/>
      <c r="G5" s="17"/>
      <c r="H5" s="17"/>
      <c r="I5" s="17"/>
      <c r="J5" s="17"/>
      <c r="K5" s="17"/>
      <c r="L5" s="17"/>
      <c r="M5" s="17"/>
      <c r="N5" s="17"/>
      <c r="O5" s="17"/>
      <c r="P5" s="17"/>
      <c r="Q5" s="17"/>
      <c r="R5" s="17"/>
      <c r="S5" s="119"/>
      <c r="T5" s="119"/>
      <c r="U5" s="119"/>
    </row>
    <row r="6" spans="1:21">
      <c r="A6" s="17"/>
      <c r="B6" s="18" t="s">
        <v>41</v>
      </c>
      <c r="C6" s="17"/>
      <c r="D6" s="17"/>
      <c r="E6" s="17"/>
      <c r="F6" s="17"/>
      <c r="G6" s="17"/>
      <c r="H6" s="17"/>
      <c r="I6" s="17"/>
      <c r="J6" s="17"/>
      <c r="K6" s="17"/>
      <c r="L6" s="17"/>
      <c r="M6" s="17"/>
      <c r="N6" s="17"/>
      <c r="O6" s="17"/>
      <c r="P6" s="17"/>
      <c r="Q6" s="17"/>
      <c r="R6" s="17"/>
      <c r="S6" s="119"/>
      <c r="T6" s="119"/>
      <c r="U6" s="119"/>
    </row>
    <row r="7" spans="1:21">
      <c r="A7" s="17"/>
      <c r="B7" s="18"/>
      <c r="C7" s="17"/>
      <c r="D7" s="17"/>
      <c r="E7" s="17"/>
      <c r="F7" s="17"/>
      <c r="G7" s="17"/>
      <c r="H7" s="17"/>
      <c r="I7" s="17"/>
      <c r="J7" s="17"/>
      <c r="K7" s="17"/>
      <c r="L7" s="17"/>
      <c r="M7" s="17"/>
      <c r="N7" s="17"/>
      <c r="O7" s="17"/>
      <c r="P7" s="17"/>
      <c r="Q7" s="17"/>
      <c r="R7" s="17"/>
      <c r="S7" s="119"/>
      <c r="T7" s="119"/>
      <c r="U7" s="119"/>
    </row>
    <row r="8" spans="1:21">
      <c r="A8" s="17"/>
      <c r="B8" s="18" t="s">
        <v>42</v>
      </c>
      <c r="C8" s="17"/>
      <c r="D8" s="17"/>
      <c r="E8" s="17"/>
      <c r="F8" s="17"/>
      <c r="G8" s="17"/>
      <c r="H8" s="17"/>
      <c r="I8" s="17"/>
      <c r="J8" s="17"/>
      <c r="K8" s="17"/>
      <c r="L8" s="17"/>
      <c r="M8" s="17"/>
      <c r="N8" s="17"/>
      <c r="O8" s="17"/>
      <c r="P8" s="17"/>
      <c r="Q8" s="17"/>
      <c r="R8" s="17"/>
      <c r="S8" s="119"/>
      <c r="T8" s="119"/>
      <c r="U8" s="119"/>
    </row>
    <row r="9" spans="1:21">
      <c r="A9" s="17"/>
      <c r="B9" s="18" t="s">
        <v>43</v>
      </c>
      <c r="C9" s="17"/>
      <c r="D9" s="17"/>
      <c r="E9" s="17"/>
      <c r="F9" s="17"/>
      <c r="G9" s="17"/>
      <c r="H9" s="17"/>
      <c r="I9" s="17"/>
      <c r="J9" s="17"/>
      <c r="K9" s="17"/>
      <c r="L9" s="17"/>
      <c r="M9" s="17"/>
      <c r="N9" s="17"/>
      <c r="O9" s="17"/>
      <c r="P9" s="17"/>
      <c r="Q9" s="17"/>
      <c r="R9" s="17"/>
      <c r="S9" s="119"/>
      <c r="T9" s="119"/>
      <c r="U9" s="119"/>
    </row>
    <row r="10" spans="1:21">
      <c r="A10" s="17"/>
      <c r="B10" s="18" t="s">
        <v>358</v>
      </c>
      <c r="C10" s="17"/>
      <c r="D10" s="17"/>
      <c r="E10" s="17"/>
      <c r="F10" s="17"/>
      <c r="G10" s="17"/>
      <c r="H10" s="17"/>
      <c r="I10" s="17"/>
      <c r="J10" s="17"/>
      <c r="K10" s="17"/>
      <c r="L10" s="17"/>
      <c r="M10" s="17"/>
      <c r="N10" s="17"/>
      <c r="O10" s="17"/>
      <c r="P10" s="17"/>
      <c r="Q10" s="17"/>
      <c r="R10" s="17"/>
      <c r="S10" s="119"/>
      <c r="T10" s="119"/>
      <c r="U10" s="119"/>
    </row>
    <row r="11" spans="1:21">
      <c r="A11" s="17"/>
      <c r="B11" s="19" t="s">
        <v>44</v>
      </c>
      <c r="C11" s="17"/>
      <c r="D11" s="17"/>
      <c r="E11" s="17"/>
      <c r="F11" s="17"/>
      <c r="G11" s="17"/>
      <c r="H11" s="17"/>
      <c r="I11" s="17"/>
      <c r="J11" s="17"/>
      <c r="K11" s="17"/>
      <c r="L11" s="17"/>
      <c r="M11" s="17"/>
      <c r="N11" s="17"/>
      <c r="O11" s="17"/>
      <c r="P11" s="17"/>
      <c r="Q11" s="17"/>
      <c r="R11" s="17"/>
      <c r="S11" s="119"/>
      <c r="T11" s="119"/>
      <c r="U11" s="119"/>
    </row>
    <row r="12" spans="1:21">
      <c r="A12" s="17"/>
      <c r="B12" s="18"/>
      <c r="C12" s="17"/>
      <c r="D12" s="17"/>
      <c r="E12" s="17"/>
      <c r="F12" s="17"/>
      <c r="G12" s="17"/>
      <c r="H12" s="17"/>
      <c r="I12" s="17"/>
      <c r="J12" s="17"/>
      <c r="K12" s="17"/>
      <c r="L12" s="17"/>
      <c r="M12" s="17"/>
      <c r="N12" s="17"/>
      <c r="O12" s="17"/>
      <c r="P12" s="17"/>
      <c r="Q12" s="17"/>
      <c r="R12" s="17"/>
      <c r="S12" s="119"/>
      <c r="T12" s="119"/>
      <c r="U12" s="119"/>
    </row>
    <row r="13" spans="1:21">
      <c r="A13" s="17"/>
      <c r="B13" s="17"/>
      <c r="C13" s="17"/>
      <c r="D13" s="17"/>
      <c r="E13" s="17"/>
      <c r="F13" s="20"/>
      <c r="G13" s="17" t="s">
        <v>9</v>
      </c>
      <c r="H13" s="17"/>
      <c r="I13" s="17"/>
      <c r="J13" s="17"/>
      <c r="K13" s="17"/>
      <c r="L13" s="17"/>
      <c r="M13" s="17"/>
      <c r="N13" s="17"/>
      <c r="O13" s="17"/>
      <c r="P13" s="17"/>
      <c r="Q13" s="17"/>
      <c r="R13" s="17"/>
      <c r="S13" s="119"/>
      <c r="T13" s="119"/>
      <c r="U13" s="119"/>
    </row>
    <row r="14" spans="1:21">
      <c r="A14" s="17"/>
      <c r="B14" s="17"/>
      <c r="C14" s="17"/>
      <c r="D14" s="17"/>
      <c r="E14" s="17"/>
      <c r="F14" s="21"/>
      <c r="G14" s="17" t="s">
        <v>0</v>
      </c>
      <c r="H14" s="17"/>
      <c r="I14" s="17"/>
      <c r="J14" s="17"/>
      <c r="K14" s="17"/>
      <c r="L14" s="17"/>
      <c r="M14" s="17"/>
      <c r="N14" s="17"/>
      <c r="O14" s="17"/>
      <c r="P14" s="17"/>
      <c r="Q14" s="17"/>
      <c r="R14" s="17"/>
      <c r="S14" s="119"/>
      <c r="T14" s="119"/>
      <c r="U14" s="119"/>
    </row>
    <row r="15" spans="1:21">
      <c r="A15" s="17"/>
      <c r="B15" s="17"/>
      <c r="C15" s="17"/>
      <c r="D15" s="17"/>
      <c r="E15" s="17"/>
      <c r="F15" s="22"/>
      <c r="G15" s="17" t="s">
        <v>5</v>
      </c>
      <c r="H15" s="17"/>
      <c r="I15" s="17"/>
      <c r="J15" s="17"/>
      <c r="K15" s="17"/>
      <c r="L15" s="17"/>
      <c r="M15" s="17"/>
      <c r="N15" s="17"/>
      <c r="O15" s="17"/>
      <c r="P15" s="17"/>
      <c r="Q15" s="17"/>
      <c r="R15" s="17"/>
      <c r="S15" s="119"/>
      <c r="T15" s="119"/>
      <c r="U15" s="119"/>
    </row>
    <row r="16" spans="1:21">
      <c r="A16" s="17"/>
      <c r="B16" s="17"/>
      <c r="C16" s="17"/>
      <c r="D16" s="17"/>
      <c r="E16" s="17"/>
      <c r="F16" s="17" t="s">
        <v>6</v>
      </c>
      <c r="G16" s="17" t="s">
        <v>7</v>
      </c>
      <c r="H16" s="17"/>
      <c r="I16" s="17"/>
      <c r="J16" s="17"/>
      <c r="K16" s="17"/>
      <c r="L16" s="17"/>
      <c r="M16" s="17"/>
      <c r="N16" s="17"/>
      <c r="O16" s="17"/>
      <c r="P16" s="17"/>
      <c r="Q16" s="17"/>
      <c r="R16" s="17"/>
      <c r="S16" s="119"/>
      <c r="T16" s="119"/>
      <c r="U16" s="119"/>
    </row>
    <row r="17" spans="1:21">
      <c r="A17" s="17"/>
      <c r="B17" s="17"/>
      <c r="C17" s="17"/>
      <c r="D17" s="17"/>
      <c r="E17" s="17"/>
      <c r="F17" s="17"/>
      <c r="G17" s="17"/>
      <c r="H17" s="17"/>
      <c r="I17" s="17"/>
      <c r="J17" s="17"/>
      <c r="K17" s="17"/>
      <c r="L17" s="17"/>
      <c r="M17" s="17"/>
      <c r="N17" s="17"/>
      <c r="O17" s="17"/>
      <c r="P17" s="17"/>
      <c r="Q17" s="17"/>
      <c r="R17" s="17"/>
      <c r="S17" s="119"/>
      <c r="T17" s="119"/>
      <c r="U17" s="119"/>
    </row>
    <row r="18" spans="1:21">
      <c r="A18" s="17"/>
      <c r="B18" s="17"/>
      <c r="C18" s="17"/>
      <c r="D18" s="17"/>
      <c r="E18" s="17"/>
      <c r="F18" s="17"/>
      <c r="G18" s="17"/>
      <c r="H18" s="17"/>
      <c r="I18" s="17"/>
      <c r="J18" s="17"/>
      <c r="K18" s="17"/>
      <c r="L18" s="17"/>
      <c r="M18" s="17"/>
      <c r="N18" s="17"/>
      <c r="O18" s="17"/>
      <c r="P18" s="17"/>
      <c r="Q18" s="17"/>
      <c r="R18" s="17"/>
      <c r="S18" s="119"/>
      <c r="T18" s="119"/>
      <c r="U18" s="119"/>
    </row>
    <row r="19" spans="1:21" ht="18">
      <c r="A19" s="17"/>
      <c r="B19" s="23" t="s">
        <v>32</v>
      </c>
      <c r="C19" s="17"/>
      <c r="D19" s="17"/>
      <c r="E19" s="17"/>
      <c r="F19" s="17"/>
      <c r="G19" s="17"/>
      <c r="H19" s="17"/>
      <c r="I19" s="17"/>
      <c r="J19" s="17"/>
      <c r="K19" s="17"/>
      <c r="L19" s="17"/>
      <c r="M19" s="17"/>
      <c r="N19" s="17"/>
      <c r="O19" s="17"/>
      <c r="P19" s="17"/>
      <c r="Q19" s="17"/>
      <c r="R19" s="17"/>
      <c r="S19" s="119"/>
      <c r="T19" s="119"/>
      <c r="U19" s="119"/>
    </row>
    <row r="20" spans="1:21">
      <c r="A20" s="17"/>
      <c r="B20" s="2"/>
      <c r="C20" s="24" t="s">
        <v>355</v>
      </c>
      <c r="D20" s="17"/>
      <c r="E20" s="17"/>
      <c r="F20" s="17"/>
      <c r="G20" s="17"/>
      <c r="H20" s="17"/>
      <c r="I20" s="17"/>
      <c r="J20" s="17"/>
      <c r="K20" s="17"/>
      <c r="L20" s="17"/>
      <c r="M20" s="17"/>
      <c r="N20" s="17"/>
      <c r="O20" s="17"/>
      <c r="P20" s="17"/>
      <c r="Q20" s="17"/>
      <c r="R20" s="17"/>
      <c r="S20" s="119"/>
      <c r="T20" s="119"/>
      <c r="U20" s="119"/>
    </row>
    <row r="21" spans="1:21">
      <c r="A21" s="17"/>
      <c r="B21" s="17"/>
      <c r="C21" s="24" t="s">
        <v>264</v>
      </c>
      <c r="D21" s="17"/>
      <c r="E21" s="17"/>
      <c r="F21" s="17"/>
      <c r="G21" s="17"/>
      <c r="H21" s="17"/>
      <c r="I21" s="17"/>
      <c r="J21" s="17"/>
      <c r="K21" s="17"/>
      <c r="L21" s="17"/>
      <c r="M21" s="17"/>
      <c r="N21" s="17"/>
      <c r="O21" s="17"/>
      <c r="P21" s="17"/>
      <c r="Q21" s="17"/>
      <c r="R21" s="17"/>
      <c r="S21" s="119"/>
      <c r="T21" s="119"/>
      <c r="U21" s="119"/>
    </row>
    <row r="22" spans="1:21" ht="24" customHeight="1">
      <c r="A22" s="17"/>
      <c r="B22" s="17"/>
      <c r="C22" s="82" t="s">
        <v>187</v>
      </c>
      <c r="D22" s="82" t="s">
        <v>188</v>
      </c>
      <c r="E22" s="41" t="s">
        <v>189</v>
      </c>
      <c r="F22" s="41" t="s">
        <v>190</v>
      </c>
      <c r="G22" s="170" t="s">
        <v>17</v>
      </c>
      <c r="H22" s="171"/>
      <c r="I22" s="172"/>
      <c r="J22" s="17"/>
      <c r="K22" s="17"/>
      <c r="L22" s="17"/>
      <c r="M22" s="17"/>
      <c r="N22" s="17"/>
      <c r="O22" s="17"/>
      <c r="P22" s="17"/>
      <c r="Q22" s="17"/>
      <c r="R22" s="17"/>
      <c r="S22" s="119"/>
      <c r="T22" s="119"/>
      <c r="U22" s="119"/>
    </row>
    <row r="23" spans="1:21" ht="15">
      <c r="A23" s="113"/>
      <c r="B23" s="113"/>
      <c r="C23" s="133" t="s">
        <v>265</v>
      </c>
      <c r="D23" s="25" t="s">
        <v>92</v>
      </c>
      <c r="E23" s="44">
        <v>48</v>
      </c>
      <c r="F23" s="41" t="s">
        <v>28</v>
      </c>
      <c r="G23" s="25" t="s">
        <v>266</v>
      </c>
      <c r="H23" s="8"/>
      <c r="I23" s="83"/>
      <c r="J23" s="17"/>
      <c r="K23" s="17"/>
      <c r="L23" s="17"/>
      <c r="M23" s="17"/>
      <c r="N23" s="17"/>
      <c r="O23" s="17"/>
      <c r="P23" s="17"/>
      <c r="Q23" s="17"/>
      <c r="R23" s="17"/>
      <c r="S23" s="119"/>
      <c r="T23" s="119"/>
      <c r="U23" s="119"/>
    </row>
    <row r="24" spans="1:21" ht="15">
      <c r="A24" s="17"/>
      <c r="B24" s="17"/>
      <c r="C24" s="133" t="s">
        <v>229</v>
      </c>
      <c r="D24" s="25" t="s">
        <v>230</v>
      </c>
      <c r="E24" s="114">
        <v>40</v>
      </c>
      <c r="F24" s="41" t="s">
        <v>28</v>
      </c>
      <c r="G24" s="25" t="s">
        <v>267</v>
      </c>
      <c r="H24" s="84"/>
      <c r="I24" s="83"/>
      <c r="J24" s="17"/>
      <c r="K24" s="17"/>
      <c r="L24" s="17"/>
      <c r="M24" s="17"/>
      <c r="N24" s="17"/>
      <c r="O24" s="17"/>
      <c r="P24" s="17"/>
      <c r="Q24" s="17"/>
      <c r="R24" s="17"/>
      <c r="S24" s="119"/>
      <c r="T24" s="119"/>
      <c r="U24" s="119"/>
    </row>
    <row r="25" spans="1:21" ht="13.5">
      <c r="A25" s="17"/>
      <c r="B25" s="17"/>
      <c r="C25" s="168" t="s">
        <v>193</v>
      </c>
      <c r="D25" s="82" t="s">
        <v>268</v>
      </c>
      <c r="E25" s="114">
        <v>0</v>
      </c>
      <c r="F25" s="41" t="s">
        <v>271</v>
      </c>
      <c r="G25" s="17"/>
      <c r="H25" s="17"/>
      <c r="I25" s="17"/>
      <c r="J25" s="17"/>
      <c r="K25" s="17"/>
      <c r="L25" s="17"/>
      <c r="M25" s="17"/>
      <c r="N25" s="17"/>
      <c r="O25" s="17"/>
      <c r="P25" s="17"/>
      <c r="Q25" s="17"/>
      <c r="R25" s="17"/>
      <c r="S25" s="119"/>
      <c r="T25" s="119"/>
      <c r="U25" s="119"/>
    </row>
    <row r="26" spans="1:21" ht="13.5">
      <c r="A26" s="17"/>
      <c r="B26" s="17"/>
      <c r="C26" s="173"/>
      <c r="D26" s="82" t="s">
        <v>269</v>
      </c>
      <c r="E26" s="114">
        <v>1</v>
      </c>
      <c r="F26" s="41" t="s">
        <v>272</v>
      </c>
      <c r="G26" s="17"/>
      <c r="H26" s="17"/>
      <c r="I26" s="17"/>
      <c r="J26" s="17"/>
      <c r="K26" s="17"/>
      <c r="L26" s="17"/>
      <c r="M26" s="17"/>
      <c r="N26" s="17"/>
      <c r="O26" s="17"/>
      <c r="P26" s="17"/>
      <c r="Q26" s="17"/>
      <c r="R26" s="17"/>
      <c r="S26" s="119"/>
      <c r="T26" s="119"/>
      <c r="U26" s="119"/>
    </row>
    <row r="27" spans="1:21" ht="13.5">
      <c r="A27" s="17"/>
      <c r="B27" s="17"/>
      <c r="C27" s="174"/>
      <c r="D27" s="82" t="s">
        <v>270</v>
      </c>
      <c r="E27" s="114">
        <v>39</v>
      </c>
      <c r="F27" s="41" t="s">
        <v>272</v>
      </c>
      <c r="G27" s="17"/>
      <c r="H27" s="17"/>
      <c r="I27" s="17"/>
      <c r="J27" s="17"/>
      <c r="K27" s="17"/>
      <c r="L27" s="17"/>
      <c r="M27" s="17"/>
      <c r="N27" s="17"/>
      <c r="O27" s="17"/>
      <c r="P27" s="17"/>
      <c r="Q27" s="17"/>
      <c r="R27" s="17"/>
      <c r="S27" s="119"/>
      <c r="T27" s="119"/>
      <c r="U27" s="119"/>
    </row>
    <row r="28" spans="1:21" ht="15">
      <c r="A28" s="17"/>
      <c r="B28" s="17"/>
      <c r="C28" s="133" t="s">
        <v>192</v>
      </c>
      <c r="D28" s="25" t="s">
        <v>93</v>
      </c>
      <c r="E28" s="107">
        <f>E39</f>
        <v>40</v>
      </c>
      <c r="F28" s="41" t="s">
        <v>10</v>
      </c>
      <c r="G28" s="25" t="s">
        <v>267</v>
      </c>
      <c r="H28" s="84"/>
      <c r="I28" s="83"/>
      <c r="J28" s="17"/>
      <c r="K28" s="17"/>
      <c r="L28" s="17"/>
      <c r="M28" s="17"/>
      <c r="N28" s="17"/>
      <c r="O28" s="17"/>
      <c r="P28" s="17"/>
      <c r="Q28" s="17"/>
      <c r="R28" s="17"/>
      <c r="S28" s="119"/>
      <c r="T28" s="119"/>
      <c r="U28" s="119"/>
    </row>
    <row r="29" spans="1:21">
      <c r="A29" s="17"/>
      <c r="B29" s="17"/>
      <c r="C29" s="17"/>
      <c r="D29" s="17"/>
      <c r="E29" s="43"/>
      <c r="F29" s="17"/>
      <c r="G29" s="17"/>
      <c r="H29" s="17"/>
      <c r="I29" s="17"/>
      <c r="J29" s="17"/>
      <c r="K29" s="17"/>
      <c r="L29" s="17"/>
      <c r="M29" s="17"/>
      <c r="N29" s="17"/>
      <c r="O29" s="17"/>
      <c r="P29" s="17"/>
      <c r="Q29" s="17"/>
      <c r="R29" s="17"/>
      <c r="S29" s="119"/>
      <c r="T29" s="119"/>
      <c r="U29" s="119"/>
    </row>
    <row r="30" spans="1:21">
      <c r="A30" s="17"/>
      <c r="B30" s="17"/>
      <c r="C30" s="17" t="s">
        <v>359</v>
      </c>
      <c r="D30" s="17"/>
      <c r="E30" s="43"/>
      <c r="F30" s="17"/>
      <c r="G30" s="17"/>
      <c r="H30" s="17"/>
      <c r="I30" s="17"/>
      <c r="J30" s="17"/>
      <c r="K30" s="17"/>
      <c r="L30" s="17"/>
      <c r="M30" s="17"/>
      <c r="N30" s="17"/>
      <c r="O30" s="17"/>
      <c r="P30" s="17"/>
      <c r="Q30" s="17"/>
      <c r="R30" s="17"/>
      <c r="S30" s="119"/>
      <c r="T30" s="119"/>
      <c r="U30" s="119"/>
    </row>
    <row r="31" spans="1:21">
      <c r="A31" s="17"/>
      <c r="B31" s="17"/>
      <c r="C31" s="17"/>
      <c r="D31" s="17"/>
      <c r="E31" s="43"/>
      <c r="F31" s="17"/>
      <c r="G31" s="17"/>
      <c r="H31" s="17"/>
      <c r="I31" s="17"/>
      <c r="J31" s="17"/>
      <c r="K31" s="17"/>
      <c r="L31" s="17"/>
      <c r="M31" s="17"/>
      <c r="N31" s="17"/>
      <c r="O31" s="17"/>
      <c r="P31" s="17"/>
      <c r="Q31" s="17"/>
      <c r="R31" s="17"/>
      <c r="S31" s="119"/>
      <c r="T31" s="119"/>
      <c r="U31" s="119"/>
    </row>
    <row r="32" spans="1:21">
      <c r="A32" s="17"/>
      <c r="B32" s="17"/>
      <c r="C32" s="17"/>
      <c r="D32" s="17"/>
      <c r="E32" s="43"/>
      <c r="F32" s="17"/>
      <c r="G32" s="17"/>
      <c r="H32" s="17"/>
      <c r="I32" s="17"/>
      <c r="J32" s="17"/>
      <c r="K32" s="17"/>
      <c r="L32" s="17"/>
      <c r="M32" s="17"/>
      <c r="N32" s="17"/>
      <c r="O32" s="17"/>
      <c r="P32" s="17"/>
      <c r="Q32" s="17"/>
      <c r="R32" s="17"/>
      <c r="S32" s="119"/>
      <c r="T32" s="119"/>
      <c r="U32" s="119"/>
    </row>
    <row r="33" spans="1:21" ht="24" customHeight="1">
      <c r="A33" s="17"/>
      <c r="B33" s="17"/>
      <c r="C33" s="82" t="s">
        <v>191</v>
      </c>
      <c r="D33" s="82" t="s">
        <v>188</v>
      </c>
      <c r="E33" s="41" t="s">
        <v>189</v>
      </c>
      <c r="F33" s="41" t="s">
        <v>190</v>
      </c>
      <c r="G33" s="17"/>
      <c r="H33" s="17"/>
      <c r="I33" s="17"/>
      <c r="J33" s="17"/>
      <c r="K33" s="17"/>
      <c r="L33" s="17"/>
      <c r="M33" s="17"/>
      <c r="N33" s="17"/>
      <c r="O33" s="17"/>
      <c r="P33" s="17"/>
      <c r="Q33" s="17"/>
      <c r="R33" s="17"/>
      <c r="S33" s="119"/>
      <c r="T33" s="119"/>
      <c r="U33" s="119"/>
    </row>
    <row r="34" spans="1:21" ht="13.5">
      <c r="A34" s="17"/>
      <c r="B34" s="17"/>
      <c r="C34" s="117" t="s">
        <v>231</v>
      </c>
      <c r="D34" s="133" t="s">
        <v>232</v>
      </c>
      <c r="E34" s="153">
        <v>1</v>
      </c>
      <c r="F34" s="41" t="s">
        <v>194</v>
      </c>
      <c r="G34" s="17"/>
      <c r="H34" s="17"/>
      <c r="I34" s="17"/>
      <c r="J34" s="17"/>
      <c r="K34" s="17"/>
      <c r="L34" s="17"/>
      <c r="M34" s="17"/>
      <c r="N34" s="17"/>
      <c r="O34" s="17"/>
      <c r="P34" s="17"/>
      <c r="Q34" s="17"/>
      <c r="R34" s="17"/>
      <c r="S34" s="119"/>
      <c r="T34" s="119"/>
      <c r="U34" s="119"/>
    </row>
    <row r="35" spans="1:21" ht="13.5" customHeight="1">
      <c r="A35" s="17"/>
      <c r="B35" s="17"/>
      <c r="C35" s="17"/>
      <c r="D35" s="17"/>
      <c r="E35" s="17"/>
      <c r="F35" s="17"/>
      <c r="G35" s="17"/>
      <c r="H35" s="17"/>
      <c r="I35" s="17"/>
      <c r="J35" s="17"/>
      <c r="K35" s="17"/>
      <c r="L35" s="17"/>
      <c r="M35" s="17"/>
      <c r="N35" s="17"/>
      <c r="O35" s="17"/>
      <c r="P35" s="17"/>
      <c r="Q35" s="17"/>
      <c r="R35" s="17"/>
      <c r="S35" s="119"/>
      <c r="T35" s="119"/>
      <c r="U35" s="119"/>
    </row>
    <row r="36" spans="1:21">
      <c r="A36" s="17"/>
      <c r="B36" s="17"/>
      <c r="C36" s="17"/>
      <c r="D36" s="17"/>
      <c r="E36" s="17"/>
      <c r="F36" s="17"/>
      <c r="G36" s="17"/>
      <c r="H36" s="17"/>
      <c r="I36" s="17"/>
      <c r="J36" s="17"/>
      <c r="K36" s="17"/>
      <c r="L36" s="17"/>
      <c r="M36" s="17"/>
      <c r="N36" s="17"/>
      <c r="O36" s="17"/>
      <c r="P36" s="17"/>
      <c r="Q36" s="17"/>
      <c r="R36" s="17"/>
      <c r="S36" s="119"/>
      <c r="T36" s="119"/>
      <c r="U36" s="119"/>
    </row>
    <row r="37" spans="1:21">
      <c r="A37" s="17"/>
      <c r="B37" s="17"/>
      <c r="C37" s="17"/>
      <c r="D37" s="17"/>
      <c r="E37" s="17"/>
      <c r="F37" s="17"/>
      <c r="G37" s="17"/>
      <c r="H37" s="17"/>
      <c r="I37" s="17"/>
      <c r="J37" s="17"/>
      <c r="K37" s="17"/>
      <c r="L37" s="17"/>
      <c r="M37" s="17"/>
      <c r="N37" s="17"/>
      <c r="O37" s="17"/>
      <c r="P37" s="17"/>
      <c r="Q37" s="17"/>
      <c r="R37" s="17"/>
      <c r="S37" s="119"/>
      <c r="T37" s="119"/>
      <c r="U37" s="119"/>
    </row>
    <row r="38" spans="1:21">
      <c r="A38" s="17"/>
      <c r="B38" s="17"/>
      <c r="C38" s="17"/>
      <c r="D38" s="17"/>
      <c r="E38" s="17"/>
      <c r="F38" s="17"/>
      <c r="G38" s="17"/>
      <c r="H38" s="17"/>
      <c r="I38" s="17"/>
      <c r="J38" s="17"/>
      <c r="K38" s="17"/>
      <c r="L38" s="17"/>
      <c r="M38" s="17"/>
      <c r="N38" s="17"/>
      <c r="O38" s="17"/>
      <c r="P38" s="17"/>
      <c r="Q38" s="17"/>
      <c r="R38" s="17"/>
      <c r="S38" s="119"/>
      <c r="T38" s="119"/>
      <c r="U38" s="119"/>
    </row>
    <row r="39" spans="1:21">
      <c r="A39" s="17"/>
      <c r="B39" s="17"/>
      <c r="C39" s="17"/>
      <c r="D39" s="27"/>
      <c r="E39" s="6">
        <f>((E25/1000+E26+E27)/E26)</f>
        <v>40</v>
      </c>
      <c r="F39" s="17" t="s">
        <v>10</v>
      </c>
      <c r="G39" s="17"/>
      <c r="H39" s="17"/>
      <c r="I39" s="17"/>
      <c r="J39" s="17"/>
      <c r="K39" s="17"/>
      <c r="L39" s="17"/>
      <c r="M39" s="28" t="s">
        <v>25</v>
      </c>
      <c r="N39" s="20" t="str">
        <f>IF(AND(E39&gt;=1,E39&lt;=E23*0.97),"OK","NG")</f>
        <v>OK</v>
      </c>
      <c r="O39" s="17"/>
      <c r="P39" s="17"/>
      <c r="Q39" s="17"/>
      <c r="R39" s="17"/>
      <c r="S39" s="119"/>
      <c r="T39" s="119"/>
      <c r="U39" s="119"/>
    </row>
    <row r="40" spans="1:21">
      <c r="A40" s="17"/>
      <c r="B40" s="17"/>
      <c r="C40" s="17"/>
      <c r="D40" s="17"/>
      <c r="E40" s="17"/>
      <c r="F40" s="17"/>
      <c r="G40" s="17"/>
      <c r="H40" s="17"/>
      <c r="I40" s="17"/>
      <c r="J40" s="17"/>
      <c r="K40" s="17"/>
      <c r="L40" s="17"/>
      <c r="M40" s="17"/>
      <c r="N40" s="17"/>
      <c r="O40" s="17"/>
      <c r="P40" s="17"/>
      <c r="Q40" s="17"/>
      <c r="R40" s="17"/>
      <c r="S40" s="119"/>
      <c r="T40" s="119"/>
      <c r="U40" s="119"/>
    </row>
    <row r="41" spans="1:21">
      <c r="A41" s="17"/>
      <c r="B41" s="17"/>
      <c r="C41" s="17"/>
      <c r="D41" s="17"/>
      <c r="E41" s="17"/>
      <c r="F41" s="17"/>
      <c r="G41" s="17"/>
      <c r="H41" s="17"/>
      <c r="I41" s="17"/>
      <c r="J41" s="17"/>
      <c r="K41" s="17"/>
      <c r="L41" s="17"/>
      <c r="M41" s="17"/>
      <c r="N41" s="17"/>
      <c r="O41" s="17"/>
      <c r="P41" s="17"/>
      <c r="Q41" s="17"/>
      <c r="R41" s="17"/>
      <c r="S41" s="119"/>
      <c r="T41" s="119"/>
      <c r="U41" s="119"/>
    </row>
    <row r="42" spans="1:21">
      <c r="A42" s="17"/>
      <c r="B42" s="17"/>
      <c r="C42" s="17"/>
      <c r="D42" s="17"/>
      <c r="E42" s="17"/>
      <c r="F42" s="17"/>
      <c r="G42" s="17"/>
      <c r="H42" s="17"/>
      <c r="I42" s="17"/>
      <c r="J42" s="17"/>
      <c r="K42" s="17"/>
      <c r="L42" s="17"/>
      <c r="M42" s="3"/>
      <c r="N42" s="3"/>
      <c r="O42" s="3"/>
      <c r="P42" s="3"/>
      <c r="Q42" s="17"/>
      <c r="R42" s="17"/>
      <c r="S42" s="119"/>
      <c r="T42" s="119"/>
      <c r="U42" s="119"/>
    </row>
    <row r="43" spans="1:21">
      <c r="A43" s="17"/>
      <c r="B43" s="17"/>
      <c r="C43" s="17"/>
      <c r="D43" s="17"/>
      <c r="E43" s="17"/>
      <c r="F43" s="17"/>
      <c r="G43" s="17"/>
      <c r="H43" s="17"/>
      <c r="I43" s="17"/>
      <c r="J43" s="17"/>
      <c r="K43" s="17"/>
      <c r="L43" s="17"/>
      <c r="M43" s="3"/>
      <c r="N43" s="3"/>
      <c r="O43" s="3"/>
      <c r="P43" s="3"/>
      <c r="Q43" s="17"/>
      <c r="R43" s="17"/>
      <c r="S43" s="119"/>
      <c r="T43" s="119"/>
      <c r="U43" s="119"/>
    </row>
    <row r="44" spans="1:21">
      <c r="A44" s="17"/>
      <c r="B44" s="17"/>
      <c r="C44" s="17"/>
      <c r="D44" s="17"/>
      <c r="E44" s="17"/>
      <c r="F44" s="17"/>
      <c r="G44" s="17"/>
      <c r="H44" s="17"/>
      <c r="I44" s="17"/>
      <c r="J44" s="17"/>
      <c r="K44" s="17"/>
      <c r="L44" s="17"/>
      <c r="M44" s="3"/>
      <c r="N44" s="3"/>
      <c r="O44" s="3"/>
      <c r="P44" s="3"/>
      <c r="Q44" s="17"/>
      <c r="R44" s="17"/>
      <c r="S44" s="119"/>
      <c r="T44" s="119"/>
      <c r="U44" s="119"/>
    </row>
    <row r="45" spans="1:21">
      <c r="A45" s="17"/>
      <c r="B45" s="17"/>
      <c r="C45" s="17"/>
      <c r="D45" s="17"/>
      <c r="E45" s="17"/>
      <c r="F45" s="17"/>
      <c r="G45" s="17"/>
      <c r="H45" s="17"/>
      <c r="I45" s="17"/>
      <c r="J45" s="17"/>
      <c r="K45" s="17"/>
      <c r="L45" s="17"/>
      <c r="M45" s="17"/>
      <c r="N45" s="17"/>
      <c r="O45" s="17"/>
      <c r="P45" s="17"/>
      <c r="Q45" s="17"/>
      <c r="R45" s="17"/>
      <c r="S45" s="119"/>
      <c r="T45" s="119"/>
      <c r="U45" s="119"/>
    </row>
    <row r="46" spans="1:21" ht="18">
      <c r="A46" s="17"/>
      <c r="B46" s="23" t="s">
        <v>12</v>
      </c>
      <c r="C46" s="17"/>
      <c r="D46" s="17"/>
      <c r="E46" s="17"/>
      <c r="F46" s="17"/>
      <c r="G46" s="17"/>
      <c r="H46" s="17"/>
      <c r="I46" s="17"/>
      <c r="J46" s="17"/>
      <c r="K46" s="17"/>
      <c r="L46" s="17"/>
      <c r="M46" s="17"/>
      <c r="N46" s="17"/>
      <c r="O46" s="17"/>
      <c r="P46" s="17"/>
      <c r="Q46" s="17"/>
      <c r="R46" s="17"/>
      <c r="S46" s="119"/>
      <c r="T46" s="119"/>
      <c r="U46" s="119"/>
    </row>
    <row r="47" spans="1:21">
      <c r="A47" s="17"/>
      <c r="B47" s="17"/>
      <c r="C47" s="17"/>
      <c r="D47" s="17"/>
      <c r="E47" s="17"/>
      <c r="F47" s="17"/>
      <c r="G47" s="17"/>
      <c r="H47" s="17"/>
      <c r="I47" s="17"/>
      <c r="J47" s="17"/>
      <c r="K47" s="17"/>
      <c r="L47" s="17"/>
      <c r="M47" s="17"/>
      <c r="N47" s="17"/>
      <c r="O47" s="17"/>
      <c r="P47" s="17"/>
      <c r="Q47" s="17"/>
      <c r="R47" s="17"/>
      <c r="S47" s="119"/>
      <c r="T47" s="119"/>
      <c r="U47" s="119"/>
    </row>
    <row r="48" spans="1:21">
      <c r="A48" s="17"/>
      <c r="B48" s="17"/>
      <c r="C48" s="24" t="s">
        <v>289</v>
      </c>
      <c r="D48" s="17"/>
      <c r="E48" s="17"/>
      <c r="F48" s="17"/>
      <c r="G48" s="17"/>
      <c r="H48" s="17"/>
      <c r="I48" s="17"/>
      <c r="J48" s="17"/>
      <c r="K48" s="17"/>
      <c r="L48" s="17"/>
      <c r="M48" s="17"/>
      <c r="N48" s="17"/>
      <c r="O48" s="17"/>
      <c r="P48" s="17"/>
      <c r="Q48" s="17"/>
      <c r="R48" s="17"/>
      <c r="S48" s="119"/>
      <c r="T48" s="119"/>
      <c r="U48" s="119"/>
    </row>
    <row r="49" spans="1:21" ht="24" customHeight="1">
      <c r="A49" s="17"/>
      <c r="B49" s="17"/>
      <c r="C49" s="82" t="s">
        <v>187</v>
      </c>
      <c r="D49" s="82" t="s">
        <v>188</v>
      </c>
      <c r="E49" s="41" t="s">
        <v>189</v>
      </c>
      <c r="F49" s="41" t="s">
        <v>190</v>
      </c>
      <c r="G49" s="170" t="s">
        <v>17</v>
      </c>
      <c r="H49" s="171"/>
      <c r="I49" s="172"/>
      <c r="J49" s="17"/>
      <c r="K49" s="17"/>
      <c r="L49" s="17"/>
      <c r="M49" s="17"/>
      <c r="N49" s="17"/>
      <c r="O49" s="17"/>
      <c r="P49" s="17"/>
      <c r="Q49" s="17"/>
      <c r="R49" s="17"/>
      <c r="S49" s="119"/>
      <c r="T49" s="119"/>
      <c r="U49" s="119"/>
    </row>
    <row r="50" spans="1:21" ht="13.5">
      <c r="A50" s="17"/>
      <c r="B50" s="17"/>
      <c r="C50" s="115" t="s">
        <v>195</v>
      </c>
      <c r="D50" s="82" t="s">
        <v>196</v>
      </c>
      <c r="E50" s="44">
        <v>22</v>
      </c>
      <c r="F50" s="41" t="s">
        <v>20</v>
      </c>
      <c r="G50" s="25" t="s">
        <v>281</v>
      </c>
      <c r="H50" s="8"/>
      <c r="I50" s="7"/>
      <c r="J50" s="17"/>
      <c r="K50" s="17"/>
      <c r="L50" s="17"/>
      <c r="M50" s="17"/>
      <c r="N50" s="17"/>
      <c r="O50" s="17"/>
      <c r="P50" s="17"/>
      <c r="Q50" s="17"/>
      <c r="R50" s="17"/>
      <c r="S50" s="119" t="s">
        <v>303</v>
      </c>
      <c r="T50" s="119" t="s">
        <v>306</v>
      </c>
      <c r="U50" s="119" t="s">
        <v>354</v>
      </c>
    </row>
    <row r="51" spans="1:21" ht="13.5">
      <c r="A51" s="17"/>
      <c r="B51" s="17"/>
      <c r="C51" s="115" t="s">
        <v>197</v>
      </c>
      <c r="D51" s="82" t="s">
        <v>94</v>
      </c>
      <c r="E51" s="46">
        <f>E75</f>
        <v>5.7575757575757578</v>
      </c>
      <c r="F51" s="41" t="s">
        <v>11</v>
      </c>
      <c r="G51" s="25"/>
      <c r="H51" s="8"/>
      <c r="I51" s="7"/>
      <c r="J51" s="17"/>
      <c r="K51" s="17"/>
      <c r="L51" s="17"/>
      <c r="M51" s="17"/>
      <c r="N51" s="17"/>
      <c r="O51" s="17"/>
      <c r="P51" s="17"/>
      <c r="Q51" s="17"/>
      <c r="R51" s="17"/>
      <c r="S51" s="119"/>
      <c r="T51" s="119"/>
      <c r="U51" s="119" t="s">
        <v>307</v>
      </c>
    </row>
    <row r="52" spans="1:21">
      <c r="A52" s="17"/>
      <c r="B52" s="17"/>
      <c r="C52" s="136"/>
      <c r="D52" s="82"/>
      <c r="E52" s="41"/>
      <c r="F52" s="41"/>
      <c r="G52" s="25"/>
      <c r="H52" s="8"/>
      <c r="I52" s="7"/>
      <c r="J52" s="17"/>
      <c r="K52" s="17"/>
      <c r="L52" s="17"/>
      <c r="M52" s="17"/>
      <c r="N52" s="17"/>
      <c r="O52" s="17"/>
      <c r="P52" s="17"/>
      <c r="Q52" s="17"/>
      <c r="R52" s="17"/>
      <c r="S52" s="119"/>
      <c r="T52" s="119"/>
      <c r="U52" s="119"/>
    </row>
    <row r="53" spans="1:21" ht="13.5">
      <c r="A53" s="17"/>
      <c r="B53" s="17"/>
      <c r="C53" s="175" t="s">
        <v>198</v>
      </c>
      <c r="D53" s="26" t="s">
        <v>282</v>
      </c>
      <c r="E53" s="47">
        <v>10</v>
      </c>
      <c r="F53" s="41" t="s">
        <v>14</v>
      </c>
      <c r="G53" s="29" t="s">
        <v>31</v>
      </c>
      <c r="H53" s="9"/>
      <c r="I53" s="10"/>
      <c r="J53" s="17"/>
      <c r="K53" s="17"/>
      <c r="L53" s="17"/>
      <c r="M53" s="17"/>
      <c r="N53" s="17"/>
      <c r="O53" s="17"/>
      <c r="P53" s="17"/>
      <c r="Q53" s="17"/>
      <c r="R53" s="17"/>
      <c r="S53" s="119" t="s">
        <v>303</v>
      </c>
      <c r="T53" s="119" t="s">
        <v>306</v>
      </c>
      <c r="U53" s="119"/>
    </row>
    <row r="54" spans="1:21" ht="13.5">
      <c r="A54" s="17"/>
      <c r="B54" s="17"/>
      <c r="C54" s="176"/>
      <c r="D54" s="26" t="s">
        <v>283</v>
      </c>
      <c r="E54" s="47">
        <v>120</v>
      </c>
      <c r="F54" s="41" t="s">
        <v>14</v>
      </c>
      <c r="G54" s="30"/>
      <c r="H54" s="17"/>
      <c r="I54" s="4"/>
      <c r="J54" s="17"/>
      <c r="K54" s="17"/>
      <c r="L54" s="17"/>
      <c r="M54" s="17"/>
      <c r="N54" s="17"/>
      <c r="O54" s="17"/>
      <c r="P54" s="17"/>
      <c r="Q54" s="17"/>
      <c r="R54" s="17"/>
      <c r="S54" s="119" t="s">
        <v>303</v>
      </c>
      <c r="T54" s="119" t="s">
        <v>306</v>
      </c>
      <c r="U54" s="119"/>
    </row>
    <row r="55" spans="1:21" ht="13.5">
      <c r="A55" s="17"/>
      <c r="B55" s="17"/>
      <c r="C55" s="116" t="s">
        <v>286</v>
      </c>
      <c r="D55" s="26" t="s">
        <v>95</v>
      </c>
      <c r="E55" s="44">
        <v>28</v>
      </c>
      <c r="F55" s="41" t="s">
        <v>284</v>
      </c>
      <c r="G55" s="31"/>
      <c r="H55" s="11"/>
      <c r="I55" s="12"/>
      <c r="J55" s="17"/>
      <c r="K55" s="17"/>
      <c r="L55" s="17"/>
      <c r="M55" s="17"/>
      <c r="N55" s="17"/>
      <c r="O55" s="17"/>
      <c r="P55" s="17"/>
      <c r="Q55" s="17"/>
      <c r="R55" s="17"/>
      <c r="S55" s="119"/>
      <c r="T55" s="119"/>
      <c r="U55" s="119"/>
    </row>
    <row r="56" spans="1:21" ht="13.5">
      <c r="A56" s="17"/>
      <c r="B56" s="17"/>
      <c r="C56" s="82" t="s">
        <v>199</v>
      </c>
      <c r="D56" s="26" t="s">
        <v>96</v>
      </c>
      <c r="E56" s="48">
        <v>0</v>
      </c>
      <c r="F56" s="41" t="s">
        <v>352</v>
      </c>
      <c r="G56" s="42" t="s">
        <v>200</v>
      </c>
      <c r="H56" s="13">
        <f>E111</f>
        <v>79.343434343434495</v>
      </c>
      <c r="I56" s="135" t="s">
        <v>206</v>
      </c>
      <c r="J56" s="17"/>
      <c r="K56" s="17"/>
      <c r="L56" s="17"/>
      <c r="M56" s="17"/>
      <c r="N56" s="17"/>
      <c r="O56" s="17"/>
      <c r="P56" s="17"/>
      <c r="Q56" s="17"/>
      <c r="R56" s="17"/>
      <c r="S56" s="119" t="s">
        <v>302</v>
      </c>
      <c r="T56" s="119" t="s">
        <v>308</v>
      </c>
      <c r="U56" s="119" t="s">
        <v>309</v>
      </c>
    </row>
    <row r="57" spans="1:21" ht="13.5">
      <c r="A57" s="17"/>
      <c r="B57" s="17"/>
      <c r="C57" s="82" t="s">
        <v>280</v>
      </c>
      <c r="D57" s="26" t="s">
        <v>154</v>
      </c>
      <c r="E57" s="44">
        <v>5</v>
      </c>
      <c r="F57" s="41" t="s">
        <v>353</v>
      </c>
      <c r="G57" s="25" t="s">
        <v>304</v>
      </c>
      <c r="H57" s="8"/>
      <c r="I57" s="7"/>
      <c r="J57" s="17"/>
      <c r="K57" s="17"/>
      <c r="L57" s="17"/>
      <c r="M57" s="17"/>
      <c r="N57" s="17"/>
      <c r="O57" s="17"/>
      <c r="P57" s="17"/>
      <c r="Q57" s="17"/>
      <c r="R57" s="17"/>
      <c r="S57" s="119" t="s">
        <v>305</v>
      </c>
      <c r="T57" s="119" t="s">
        <v>310</v>
      </c>
      <c r="U57" s="119" t="s">
        <v>311</v>
      </c>
    </row>
    <row r="58" spans="1:21">
      <c r="A58" s="17"/>
      <c r="B58" s="17"/>
      <c r="C58" s="19"/>
      <c r="D58" s="19"/>
      <c r="E58" s="43"/>
      <c r="F58" s="43"/>
      <c r="G58" s="17"/>
      <c r="H58" s="17"/>
      <c r="I58" s="17"/>
      <c r="J58" s="17"/>
      <c r="K58" s="17"/>
      <c r="L58" s="17"/>
      <c r="M58" s="17"/>
      <c r="N58" s="27"/>
      <c r="O58" s="17"/>
      <c r="P58" s="17"/>
      <c r="Q58" s="17"/>
      <c r="R58" s="17"/>
      <c r="S58" s="119"/>
      <c r="T58" s="119"/>
      <c r="U58" s="119"/>
    </row>
    <row r="59" spans="1:21" ht="24" customHeight="1">
      <c r="A59" s="17"/>
      <c r="B59" s="17"/>
      <c r="C59" s="82" t="s">
        <v>191</v>
      </c>
      <c r="D59" s="82" t="s">
        <v>188</v>
      </c>
      <c r="E59" s="41" t="s">
        <v>189</v>
      </c>
      <c r="F59" s="41" t="s">
        <v>190</v>
      </c>
      <c r="G59" s="17"/>
      <c r="H59" s="17"/>
      <c r="I59" s="17"/>
      <c r="J59" s="17"/>
      <c r="K59" s="17"/>
      <c r="L59" s="17"/>
      <c r="M59" s="17"/>
      <c r="N59" s="27"/>
      <c r="O59" s="17"/>
      <c r="P59" s="17"/>
      <c r="Q59" s="17"/>
      <c r="R59" s="17"/>
      <c r="S59" s="119"/>
      <c r="T59" s="119"/>
      <c r="U59" s="119"/>
    </row>
    <row r="60" spans="1:21" ht="13.5">
      <c r="A60" s="17"/>
      <c r="B60" s="17"/>
      <c r="C60" s="168" t="s">
        <v>201</v>
      </c>
      <c r="D60" s="82" t="s">
        <v>274</v>
      </c>
      <c r="E60" s="154">
        <v>200</v>
      </c>
      <c r="F60" s="41" t="s">
        <v>273</v>
      </c>
      <c r="G60" s="17"/>
      <c r="H60" s="17"/>
      <c r="I60" s="17"/>
      <c r="J60" s="17"/>
      <c r="K60" s="17"/>
      <c r="L60" s="17"/>
      <c r="M60" s="17"/>
      <c r="N60" s="28"/>
      <c r="O60" s="17"/>
      <c r="P60" s="17"/>
      <c r="Q60" s="17"/>
      <c r="R60" s="17"/>
      <c r="S60" s="119"/>
      <c r="T60" s="119"/>
      <c r="U60" s="119"/>
    </row>
    <row r="61" spans="1:21" ht="13.5">
      <c r="A61" s="17"/>
      <c r="B61" s="17"/>
      <c r="C61" s="177"/>
      <c r="D61" s="82" t="s">
        <v>275</v>
      </c>
      <c r="E61" s="154">
        <v>180</v>
      </c>
      <c r="F61" s="41" t="s">
        <v>273</v>
      </c>
      <c r="G61" s="17"/>
      <c r="H61" s="17"/>
      <c r="I61" s="17"/>
      <c r="J61" s="17"/>
      <c r="K61" s="17"/>
      <c r="L61" s="17"/>
      <c r="M61" s="17"/>
      <c r="N61" s="17"/>
      <c r="O61" s="17"/>
      <c r="P61" s="17"/>
      <c r="Q61" s="17"/>
      <c r="R61" s="17"/>
      <c r="S61" s="119"/>
      <c r="T61" s="119"/>
      <c r="U61" s="119"/>
    </row>
    <row r="62" spans="1:21" ht="13.5">
      <c r="A62" s="17"/>
      <c r="B62" s="17"/>
      <c r="C62" s="129" t="s">
        <v>278</v>
      </c>
      <c r="D62" s="82" t="s">
        <v>276</v>
      </c>
      <c r="E62" s="155">
        <v>15</v>
      </c>
      <c r="F62" s="41" t="s">
        <v>16</v>
      </c>
      <c r="G62" s="17"/>
      <c r="H62" s="17"/>
      <c r="I62" s="17"/>
      <c r="J62" s="17"/>
      <c r="K62" s="17"/>
      <c r="L62" s="17"/>
      <c r="M62" s="17"/>
      <c r="N62" s="17"/>
      <c r="O62" s="17"/>
      <c r="P62" s="17"/>
      <c r="Q62" s="17"/>
      <c r="R62" s="17"/>
      <c r="S62" s="119"/>
      <c r="T62" s="119"/>
      <c r="U62" s="119"/>
    </row>
    <row r="63" spans="1:21" ht="13.5">
      <c r="A63" s="17"/>
      <c r="B63" s="17"/>
      <c r="C63" s="117" t="s">
        <v>279</v>
      </c>
      <c r="D63" s="82" t="s">
        <v>277</v>
      </c>
      <c r="E63" s="155">
        <v>6.4</v>
      </c>
      <c r="F63" s="41" t="s">
        <v>11</v>
      </c>
      <c r="G63" s="17"/>
      <c r="H63" s="17"/>
      <c r="I63" s="17"/>
      <c r="J63" s="17"/>
      <c r="K63" s="17"/>
      <c r="L63" s="17"/>
      <c r="M63" s="17"/>
      <c r="N63" s="17"/>
      <c r="O63" s="17"/>
      <c r="P63" s="17"/>
      <c r="Q63" s="17"/>
      <c r="R63" s="17"/>
      <c r="S63" s="119"/>
      <c r="T63" s="119"/>
      <c r="U63" s="119"/>
    </row>
    <row r="64" spans="1:21">
      <c r="A64" s="17"/>
      <c r="B64" s="17"/>
      <c r="C64" s="17"/>
      <c r="D64" s="17"/>
      <c r="E64" s="43"/>
      <c r="F64" s="43"/>
      <c r="G64" s="17"/>
      <c r="H64" s="17"/>
      <c r="I64" s="17"/>
      <c r="J64" s="17"/>
      <c r="K64" s="17"/>
      <c r="L64" s="17"/>
      <c r="M64" s="17"/>
      <c r="N64" s="17"/>
      <c r="O64" s="17"/>
      <c r="P64" s="17"/>
      <c r="Q64" s="17"/>
      <c r="R64" s="17"/>
      <c r="S64" s="119"/>
      <c r="T64" s="119"/>
      <c r="U64" s="119"/>
    </row>
    <row r="65" spans="1:21">
      <c r="A65" s="17"/>
      <c r="B65" s="17"/>
      <c r="C65" s="17"/>
      <c r="D65" s="17"/>
      <c r="E65" s="43"/>
      <c r="F65" s="43"/>
      <c r="G65" s="17"/>
      <c r="H65" s="17"/>
      <c r="I65" s="17"/>
      <c r="J65" s="17"/>
      <c r="K65" s="17"/>
      <c r="L65" s="17"/>
      <c r="M65" s="17"/>
      <c r="N65" s="17"/>
      <c r="O65" s="17"/>
      <c r="P65" s="17"/>
      <c r="Q65" s="17"/>
      <c r="R65" s="17"/>
      <c r="S65" s="119"/>
      <c r="T65" s="119"/>
      <c r="U65" s="119"/>
    </row>
    <row r="66" spans="1:21">
      <c r="A66" s="17"/>
      <c r="B66" s="17"/>
      <c r="C66" s="2" t="s">
        <v>26</v>
      </c>
      <c r="D66" s="17"/>
      <c r="E66" s="17"/>
      <c r="F66" s="17"/>
      <c r="G66" s="17"/>
      <c r="H66" s="17"/>
      <c r="I66" s="17"/>
      <c r="J66" s="17"/>
      <c r="K66" s="17"/>
      <c r="L66" s="17"/>
      <c r="M66" s="17"/>
      <c r="N66" s="17"/>
      <c r="O66" s="17"/>
      <c r="P66" s="17"/>
      <c r="Q66" s="17"/>
      <c r="R66" s="17"/>
      <c r="S66" s="119"/>
      <c r="T66" s="119"/>
      <c r="U66" s="119"/>
    </row>
    <row r="67" spans="1:21">
      <c r="A67" s="17"/>
      <c r="B67" s="17"/>
      <c r="C67" s="17"/>
      <c r="D67" s="17"/>
      <c r="E67" s="17"/>
      <c r="F67" s="32"/>
      <c r="G67" s="17"/>
      <c r="H67" s="17"/>
      <c r="I67" s="17"/>
      <c r="J67" s="17"/>
      <c r="K67" s="17"/>
      <c r="L67" s="17"/>
      <c r="M67" s="17"/>
      <c r="N67" s="17"/>
      <c r="O67" s="17"/>
      <c r="P67" s="17"/>
      <c r="Q67" s="17"/>
      <c r="R67" s="17"/>
      <c r="S67" s="119"/>
      <c r="T67" s="119"/>
      <c r="U67" s="119"/>
    </row>
    <row r="68" spans="1:21">
      <c r="A68" s="17"/>
      <c r="B68" s="17"/>
      <c r="C68" s="17"/>
      <c r="D68" s="17"/>
      <c r="E68" s="17"/>
      <c r="F68" s="17"/>
      <c r="G68" s="17"/>
      <c r="H68" s="17"/>
      <c r="I68" s="17"/>
      <c r="J68" s="17"/>
      <c r="K68" s="17"/>
      <c r="L68" s="17"/>
      <c r="M68" s="17"/>
      <c r="N68" s="28"/>
      <c r="O68" s="28"/>
      <c r="P68" s="28"/>
      <c r="Q68" s="28"/>
      <c r="R68" s="17"/>
      <c r="S68" s="119"/>
      <c r="T68" s="119"/>
      <c r="U68" s="119"/>
    </row>
    <row r="69" spans="1:21">
      <c r="A69" s="17"/>
      <c r="B69" s="17"/>
      <c r="C69" s="17"/>
      <c r="D69" s="28"/>
      <c r="E69" s="109">
        <f>E28*(E23-E28)*(1/(E23*E60/1000*E50))</f>
        <v>1.5151515151515151</v>
      </c>
      <c r="F69" s="17" t="s">
        <v>11</v>
      </c>
      <c r="G69" s="17"/>
      <c r="H69" s="17"/>
      <c r="I69" s="17"/>
      <c r="J69" s="17"/>
      <c r="K69" s="17"/>
      <c r="L69" s="17"/>
      <c r="M69" s="17"/>
      <c r="N69" s="28"/>
      <c r="O69" s="17"/>
      <c r="P69" s="17"/>
      <c r="Q69" s="17"/>
      <c r="R69" s="17"/>
      <c r="S69" s="119"/>
      <c r="T69" s="119"/>
      <c r="U69" s="119"/>
    </row>
    <row r="70" spans="1:21">
      <c r="A70" s="17"/>
      <c r="B70" s="17"/>
      <c r="C70" s="17"/>
      <c r="D70" s="17"/>
      <c r="E70" s="17"/>
      <c r="F70" s="17"/>
      <c r="G70" s="17"/>
      <c r="H70" s="17"/>
      <c r="I70" s="17"/>
      <c r="J70" s="17"/>
      <c r="K70" s="17"/>
      <c r="L70" s="17"/>
      <c r="M70" s="17"/>
      <c r="N70" s="17"/>
      <c r="O70" s="17"/>
      <c r="P70" s="17"/>
      <c r="Q70" s="17"/>
      <c r="R70" s="17"/>
      <c r="S70" s="119"/>
      <c r="T70" s="119"/>
      <c r="U70" s="119"/>
    </row>
    <row r="71" spans="1:21">
      <c r="A71" s="17"/>
      <c r="B71" s="17"/>
      <c r="C71" s="17"/>
      <c r="D71" s="17"/>
      <c r="E71" s="17"/>
      <c r="F71" s="17"/>
      <c r="G71" s="17"/>
      <c r="H71" s="17"/>
      <c r="I71" s="17"/>
      <c r="J71" s="17"/>
      <c r="K71" s="17"/>
      <c r="L71" s="17"/>
      <c r="M71" s="17"/>
      <c r="N71" s="17"/>
      <c r="O71" s="17"/>
      <c r="P71" s="17"/>
      <c r="Q71" s="17"/>
      <c r="R71" s="17"/>
      <c r="S71" s="119"/>
      <c r="T71" s="119"/>
      <c r="U71" s="119"/>
    </row>
    <row r="72" spans="1:21">
      <c r="A72" s="17"/>
      <c r="B72" s="17"/>
      <c r="C72" s="2" t="s">
        <v>27</v>
      </c>
      <c r="D72" s="2"/>
      <c r="E72" s="17"/>
      <c r="F72" s="17"/>
      <c r="G72" s="17"/>
      <c r="H72" s="17"/>
      <c r="I72" s="17"/>
      <c r="J72" s="17"/>
      <c r="K72" s="17"/>
      <c r="L72" s="17"/>
      <c r="M72" s="17"/>
      <c r="N72" s="28"/>
      <c r="O72" s="17"/>
      <c r="P72" s="17"/>
      <c r="Q72" s="17"/>
      <c r="R72" s="17"/>
      <c r="S72" s="119"/>
      <c r="T72" s="119"/>
      <c r="U72" s="119"/>
    </row>
    <row r="73" spans="1:21" ht="13.5">
      <c r="A73" s="17"/>
      <c r="B73" s="17"/>
      <c r="C73" s="17" t="s">
        <v>316</v>
      </c>
      <c r="D73" s="17"/>
      <c r="E73" s="17"/>
      <c r="F73" s="17"/>
      <c r="G73" s="34"/>
      <c r="H73" s="17"/>
      <c r="I73" s="17"/>
      <c r="J73" s="17"/>
      <c r="K73" s="17"/>
      <c r="L73" s="17"/>
      <c r="M73" s="17"/>
      <c r="N73" s="17"/>
      <c r="O73" s="17"/>
      <c r="P73" s="17"/>
      <c r="Q73" s="17"/>
      <c r="R73" s="17"/>
      <c r="S73" s="119"/>
      <c r="T73" s="119"/>
      <c r="U73" s="119"/>
    </row>
    <row r="74" spans="1:21">
      <c r="A74" s="17"/>
      <c r="B74" s="17"/>
      <c r="C74" s="17"/>
      <c r="D74" s="17"/>
      <c r="E74" s="17"/>
      <c r="F74" s="17"/>
      <c r="G74" s="17"/>
      <c r="H74" s="17"/>
      <c r="I74" s="17"/>
      <c r="J74" s="17"/>
      <c r="K74" s="17"/>
      <c r="L74" s="17"/>
      <c r="M74" s="17"/>
      <c r="N74" s="17"/>
      <c r="O74" s="17"/>
      <c r="P74" s="17"/>
      <c r="Q74" s="17"/>
      <c r="R74" s="17"/>
      <c r="S74" s="119"/>
      <c r="T74" s="119"/>
      <c r="U74" s="119"/>
    </row>
    <row r="75" spans="1:21">
      <c r="A75" s="17"/>
      <c r="B75" s="17"/>
      <c r="C75" s="17"/>
      <c r="D75" s="17"/>
      <c r="E75" s="33">
        <f>E57+E69/2</f>
        <v>5.7575757575757578</v>
      </c>
      <c r="F75" s="17" t="s">
        <v>11</v>
      </c>
      <c r="G75" s="17"/>
      <c r="H75" s="17"/>
      <c r="I75" s="17"/>
      <c r="J75" s="17"/>
      <c r="K75" s="17"/>
      <c r="L75" s="17"/>
      <c r="M75" s="17"/>
      <c r="N75" s="17"/>
      <c r="O75" s="17"/>
      <c r="P75" s="17"/>
      <c r="Q75" s="17"/>
      <c r="R75" s="17"/>
      <c r="S75" s="119"/>
      <c r="T75" s="119"/>
      <c r="U75" s="119"/>
    </row>
    <row r="76" spans="1:21">
      <c r="A76" s="17"/>
      <c r="B76" s="17"/>
      <c r="C76" s="17"/>
      <c r="D76" s="5"/>
      <c r="E76" s="17"/>
      <c r="F76" s="17"/>
      <c r="G76" s="17"/>
      <c r="H76" s="17"/>
      <c r="I76" s="17"/>
      <c r="J76" s="17"/>
      <c r="K76" s="17"/>
      <c r="L76" s="17"/>
      <c r="M76" s="17"/>
      <c r="N76" s="17"/>
      <c r="O76" s="17"/>
      <c r="P76" s="17"/>
      <c r="Q76" s="17"/>
      <c r="R76" s="17"/>
      <c r="S76" s="119"/>
      <c r="T76" s="119"/>
      <c r="U76" s="119"/>
    </row>
    <row r="77" spans="1:21">
      <c r="A77" s="17"/>
      <c r="B77" s="17"/>
      <c r="C77" s="17"/>
      <c r="D77" s="17"/>
      <c r="E77" s="17"/>
      <c r="F77" s="17"/>
      <c r="G77" s="17"/>
      <c r="H77" s="17"/>
      <c r="I77" s="17"/>
      <c r="J77" s="17"/>
      <c r="K77" s="17"/>
      <c r="L77" s="17"/>
      <c r="M77" s="17"/>
      <c r="N77" s="17"/>
      <c r="O77" s="17"/>
      <c r="P77" s="17"/>
      <c r="Q77" s="17"/>
      <c r="R77" s="17"/>
      <c r="S77" s="119"/>
      <c r="T77" s="119"/>
      <c r="U77" s="119"/>
    </row>
    <row r="78" spans="1:21">
      <c r="A78" s="17"/>
      <c r="B78" s="17"/>
      <c r="C78" s="2" t="s">
        <v>202</v>
      </c>
      <c r="D78" s="28"/>
      <c r="E78" s="17"/>
      <c r="F78" s="28"/>
      <c r="G78" s="28"/>
      <c r="H78" s="17"/>
      <c r="I78" s="17"/>
      <c r="J78" s="17"/>
      <c r="K78" s="17"/>
      <c r="L78" s="17"/>
      <c r="M78" s="17"/>
      <c r="N78" s="17"/>
      <c r="O78" s="17"/>
      <c r="P78" s="17"/>
      <c r="Q78" s="17"/>
      <c r="R78" s="17"/>
      <c r="S78" s="119"/>
      <c r="T78" s="119"/>
      <c r="U78" s="119"/>
    </row>
    <row r="79" spans="1:21" ht="13.5">
      <c r="A79" s="17"/>
      <c r="B79" s="17"/>
      <c r="C79" s="17" t="s">
        <v>183</v>
      </c>
      <c r="D79" s="17"/>
      <c r="E79" s="17"/>
      <c r="F79" s="17"/>
      <c r="G79" s="17"/>
      <c r="H79" s="17"/>
      <c r="I79" s="17"/>
      <c r="J79" s="17"/>
      <c r="K79" s="17"/>
      <c r="L79" s="17"/>
      <c r="M79" s="17"/>
      <c r="N79" s="17"/>
      <c r="O79" s="17"/>
      <c r="P79" s="17"/>
      <c r="Q79" s="17"/>
      <c r="R79" s="17"/>
      <c r="S79" s="119"/>
      <c r="T79" s="119"/>
      <c r="U79" s="119"/>
    </row>
    <row r="80" spans="1:21">
      <c r="A80" s="17"/>
      <c r="B80" s="17"/>
      <c r="C80" s="17"/>
      <c r="D80" s="17"/>
      <c r="E80" s="17"/>
      <c r="F80" s="17"/>
      <c r="G80" s="17"/>
      <c r="H80" s="17"/>
      <c r="I80" s="17"/>
      <c r="J80" s="17"/>
      <c r="K80" s="17"/>
      <c r="L80" s="17"/>
      <c r="M80" s="17"/>
      <c r="N80" s="17"/>
      <c r="O80" s="17"/>
      <c r="P80" s="17"/>
      <c r="Q80" s="17"/>
      <c r="R80" s="17"/>
      <c r="S80" s="119"/>
      <c r="T80" s="119"/>
      <c r="U80" s="119"/>
    </row>
    <row r="81" spans="1:21">
      <c r="A81" s="17"/>
      <c r="B81" s="17"/>
      <c r="C81" s="17"/>
      <c r="D81" s="17"/>
      <c r="E81" s="17"/>
      <c r="F81" s="17"/>
      <c r="G81" s="17"/>
      <c r="H81" s="17"/>
      <c r="I81" s="17"/>
      <c r="J81" s="17"/>
      <c r="K81" s="17"/>
      <c r="L81" s="17"/>
      <c r="M81" s="17"/>
      <c r="N81" s="17"/>
      <c r="O81" s="17"/>
      <c r="P81" s="17"/>
      <c r="Q81" s="17"/>
      <c r="R81" s="17"/>
      <c r="S81" s="119"/>
      <c r="T81" s="119"/>
      <c r="U81" s="119"/>
    </row>
    <row r="82" spans="1:21">
      <c r="A82" s="17"/>
      <c r="B82" s="17"/>
      <c r="C82" s="17"/>
      <c r="D82" s="28"/>
      <c r="E82" s="33">
        <f>(E69*((E55/1000)+(1/(8*(E53+E54)*E60/1000))))*1000</f>
        <v>49.708624708624704</v>
      </c>
      <c r="F82" s="17" t="s">
        <v>15</v>
      </c>
      <c r="G82" s="17"/>
      <c r="H82" s="17"/>
      <c r="I82" s="17"/>
      <c r="J82" s="17"/>
      <c r="K82" s="17"/>
      <c r="L82" s="17"/>
      <c r="M82" s="17"/>
      <c r="N82" s="17"/>
      <c r="O82" s="17"/>
      <c r="P82" s="17"/>
      <c r="Q82" s="17"/>
      <c r="R82" s="17"/>
      <c r="S82" s="119"/>
      <c r="T82" s="119"/>
      <c r="U82" s="119"/>
    </row>
    <row r="83" spans="1:21">
      <c r="A83" s="17"/>
      <c r="B83" s="17"/>
      <c r="C83" s="17"/>
      <c r="D83" s="17"/>
      <c r="E83" s="17"/>
      <c r="F83" s="17"/>
      <c r="G83" s="17"/>
      <c r="H83" s="17"/>
      <c r="I83" s="17"/>
      <c r="J83" s="17"/>
      <c r="K83" s="17"/>
      <c r="L83" s="17"/>
      <c r="M83" s="17"/>
      <c r="N83" s="17"/>
      <c r="O83" s="17"/>
      <c r="P83" s="17"/>
      <c r="Q83" s="17"/>
      <c r="R83" s="17"/>
      <c r="S83" s="119"/>
      <c r="T83" s="119"/>
      <c r="U83" s="119"/>
    </row>
    <row r="84" spans="1:21">
      <c r="A84" s="17"/>
      <c r="B84" s="17"/>
      <c r="C84" s="17"/>
      <c r="D84" s="17"/>
      <c r="E84" s="17"/>
      <c r="F84" s="17"/>
      <c r="G84" s="17"/>
      <c r="H84" s="17"/>
      <c r="I84" s="17"/>
      <c r="J84" s="17"/>
      <c r="K84" s="17"/>
      <c r="L84" s="17"/>
      <c r="M84" s="17"/>
      <c r="N84" s="17"/>
      <c r="O84" s="17"/>
      <c r="P84" s="17"/>
      <c r="Q84" s="17"/>
      <c r="R84" s="17"/>
      <c r="S84" s="119"/>
      <c r="T84" s="119"/>
      <c r="U84" s="119"/>
    </row>
    <row r="85" spans="1:21">
      <c r="A85" s="17"/>
      <c r="B85" s="17"/>
      <c r="C85" s="2" t="s">
        <v>203</v>
      </c>
      <c r="D85" s="17"/>
      <c r="E85" s="17"/>
      <c r="F85" s="17"/>
      <c r="G85" s="17"/>
      <c r="H85" s="17"/>
      <c r="I85" s="17"/>
      <c r="J85" s="17"/>
      <c r="K85" s="17"/>
      <c r="L85" s="17"/>
      <c r="M85" s="17"/>
      <c r="N85" s="17"/>
      <c r="O85" s="17"/>
      <c r="P85" s="17"/>
      <c r="Q85" s="17"/>
      <c r="R85" s="17"/>
      <c r="S85" s="119"/>
      <c r="T85" s="119"/>
      <c r="U85" s="119"/>
    </row>
    <row r="86" spans="1:21" ht="13.5">
      <c r="A86" s="17"/>
      <c r="B86" s="17"/>
      <c r="C86" s="17" t="s">
        <v>347</v>
      </c>
      <c r="D86" s="17"/>
      <c r="E86" s="17"/>
      <c r="F86" s="17"/>
      <c r="G86" s="17"/>
      <c r="H86" s="17"/>
      <c r="I86" s="17"/>
      <c r="J86" s="17"/>
      <c r="K86" s="17"/>
      <c r="L86" s="17"/>
      <c r="M86" s="17"/>
      <c r="N86" s="17"/>
      <c r="O86" s="17"/>
      <c r="P86" s="17"/>
      <c r="Q86" s="17"/>
      <c r="R86" s="17"/>
      <c r="S86" s="119"/>
      <c r="T86" s="119"/>
      <c r="U86" s="119"/>
    </row>
    <row r="87" spans="1:21">
      <c r="A87" s="17"/>
      <c r="B87" s="17"/>
      <c r="C87" s="17"/>
      <c r="D87" s="17"/>
      <c r="E87" s="17"/>
      <c r="F87" s="17"/>
      <c r="G87" s="17"/>
      <c r="H87" s="17"/>
      <c r="I87" s="17"/>
      <c r="J87" s="17"/>
      <c r="K87" s="17"/>
      <c r="L87" s="17"/>
      <c r="M87" s="17"/>
      <c r="N87" s="17"/>
      <c r="O87" s="17"/>
      <c r="P87" s="17"/>
      <c r="Q87" s="17"/>
      <c r="R87" s="17"/>
      <c r="S87" s="119"/>
      <c r="T87" s="119"/>
      <c r="U87" s="119"/>
    </row>
    <row r="88" spans="1:21" ht="13.5">
      <c r="A88" s="17"/>
      <c r="B88" s="17"/>
      <c r="C88" s="17" t="s">
        <v>287</v>
      </c>
      <c r="D88" s="17"/>
      <c r="E88" s="17"/>
      <c r="F88" s="17"/>
      <c r="G88" s="17"/>
      <c r="H88" s="17"/>
      <c r="I88" s="17"/>
      <c r="J88" s="17"/>
      <c r="K88" s="17"/>
      <c r="L88" s="17"/>
      <c r="M88" s="17"/>
      <c r="N88" s="17"/>
      <c r="O88" s="17"/>
      <c r="P88" s="17"/>
      <c r="Q88" s="17"/>
      <c r="R88" s="17"/>
      <c r="S88" s="119"/>
      <c r="T88" s="119"/>
      <c r="U88" s="119"/>
    </row>
    <row r="89" spans="1:21" ht="13.5">
      <c r="A89" s="17"/>
      <c r="B89" s="17"/>
      <c r="C89" s="17" t="s">
        <v>288</v>
      </c>
      <c r="D89" s="17"/>
      <c r="E89" s="17"/>
      <c r="F89" s="17"/>
      <c r="G89" s="17"/>
      <c r="H89" s="17"/>
      <c r="I89" s="17"/>
      <c r="J89" s="17"/>
      <c r="K89" s="17"/>
      <c r="L89" s="17"/>
      <c r="M89" s="17"/>
      <c r="N89" s="17"/>
      <c r="O89" s="17"/>
      <c r="P89" s="17"/>
      <c r="Q89" s="17"/>
      <c r="R89" s="17"/>
      <c r="S89" s="119"/>
      <c r="T89" s="119"/>
      <c r="U89" s="119"/>
    </row>
    <row r="90" spans="1:21">
      <c r="A90" s="17"/>
      <c r="B90" s="17"/>
      <c r="C90" s="17"/>
      <c r="D90" s="17"/>
      <c r="E90" s="17"/>
      <c r="F90" s="17"/>
      <c r="G90" s="17"/>
      <c r="H90" s="17"/>
      <c r="I90" s="17"/>
      <c r="J90" s="17"/>
      <c r="K90" s="17"/>
      <c r="L90" s="17"/>
      <c r="M90" s="17"/>
      <c r="N90" s="17"/>
      <c r="O90" s="17"/>
      <c r="P90" s="17"/>
      <c r="Q90" s="17"/>
      <c r="R90" s="17"/>
      <c r="S90" s="119"/>
      <c r="T90" s="119"/>
      <c r="U90" s="119"/>
    </row>
    <row r="91" spans="1:21">
      <c r="A91" s="17"/>
      <c r="B91" s="17"/>
      <c r="C91" s="17"/>
      <c r="D91" s="27"/>
      <c r="E91" s="33">
        <f>((E53+E54+E56)/1000000*E28)/(E62/1000)</f>
        <v>0.34666666666666668</v>
      </c>
      <c r="F91" s="17" t="s">
        <v>11</v>
      </c>
      <c r="G91" s="17"/>
      <c r="H91" s="17"/>
      <c r="I91" s="17"/>
      <c r="J91" s="17"/>
      <c r="K91" s="17"/>
      <c r="L91" s="17"/>
      <c r="M91" s="17"/>
      <c r="N91" s="17"/>
      <c r="O91" s="17"/>
      <c r="P91" s="17"/>
      <c r="Q91" s="17"/>
      <c r="R91" s="17"/>
      <c r="S91" s="119"/>
      <c r="T91" s="119"/>
      <c r="U91" s="119"/>
    </row>
    <row r="92" spans="1:21">
      <c r="A92" s="17"/>
      <c r="B92" s="17"/>
      <c r="C92" s="17"/>
      <c r="D92" s="17"/>
      <c r="E92" s="17"/>
      <c r="F92" s="17"/>
      <c r="G92" s="17"/>
      <c r="H92" s="17"/>
      <c r="I92" s="17"/>
      <c r="J92" s="17"/>
      <c r="K92" s="17"/>
      <c r="L92" s="17"/>
      <c r="M92" s="17"/>
      <c r="N92" s="17"/>
      <c r="O92" s="17"/>
      <c r="P92" s="17"/>
      <c r="Q92" s="17"/>
      <c r="R92" s="17"/>
      <c r="S92" s="119"/>
      <c r="T92" s="119"/>
      <c r="U92" s="119"/>
    </row>
    <row r="93" spans="1:21">
      <c r="A93" s="17"/>
      <c r="B93" s="17"/>
      <c r="C93" s="17"/>
      <c r="D93" s="17"/>
      <c r="E93" s="17"/>
      <c r="F93" s="17"/>
      <c r="G93" s="17"/>
      <c r="H93" s="17"/>
      <c r="I93" s="17"/>
      <c r="J93" s="17"/>
      <c r="K93" s="17"/>
      <c r="L93" s="17"/>
      <c r="M93" s="17"/>
      <c r="N93" s="17"/>
      <c r="O93" s="17"/>
      <c r="P93" s="17"/>
      <c r="Q93" s="17"/>
      <c r="R93" s="17"/>
      <c r="S93" s="119"/>
      <c r="T93" s="119"/>
      <c r="U93" s="119"/>
    </row>
    <row r="94" spans="1:21">
      <c r="A94" s="17"/>
      <c r="B94" s="17"/>
      <c r="C94" s="17"/>
      <c r="D94" s="17"/>
      <c r="E94" s="17"/>
      <c r="F94" s="17"/>
      <c r="G94" s="17"/>
      <c r="H94" s="17"/>
      <c r="I94" s="17"/>
      <c r="J94" s="17"/>
      <c r="K94" s="17"/>
      <c r="L94" s="17"/>
      <c r="M94" s="17"/>
      <c r="N94" s="17"/>
      <c r="O94" s="17"/>
      <c r="P94" s="17"/>
      <c r="Q94" s="17"/>
      <c r="R94" s="17"/>
      <c r="S94" s="119"/>
      <c r="T94" s="119"/>
      <c r="U94" s="119"/>
    </row>
    <row r="95" spans="1:21">
      <c r="A95" s="17"/>
      <c r="B95" s="17"/>
      <c r="C95" s="17"/>
      <c r="D95" s="17"/>
      <c r="E95" s="17"/>
      <c r="F95" s="17"/>
      <c r="G95" s="17"/>
      <c r="H95" s="17"/>
      <c r="I95" s="17"/>
      <c r="J95" s="17"/>
      <c r="K95" s="17"/>
      <c r="L95" s="17"/>
      <c r="M95" s="17"/>
      <c r="N95" s="17"/>
      <c r="O95" s="17"/>
      <c r="P95" s="17"/>
      <c r="Q95" s="17"/>
      <c r="R95" s="17"/>
      <c r="S95" s="119"/>
      <c r="T95" s="119"/>
      <c r="U95" s="119"/>
    </row>
    <row r="96" spans="1:21">
      <c r="A96" s="17"/>
      <c r="B96" s="17"/>
      <c r="C96" s="17"/>
      <c r="D96" s="17"/>
      <c r="E96" s="17"/>
      <c r="F96" s="17"/>
      <c r="G96" s="17"/>
      <c r="H96" s="17"/>
      <c r="I96" s="17"/>
      <c r="J96" s="17"/>
      <c r="K96" s="17"/>
      <c r="L96" s="17"/>
      <c r="M96" s="17"/>
      <c r="N96" s="17"/>
      <c r="O96" s="17"/>
      <c r="P96" s="17"/>
      <c r="Q96" s="17"/>
      <c r="R96" s="17"/>
      <c r="S96" s="119"/>
      <c r="T96" s="119"/>
      <c r="U96" s="119"/>
    </row>
    <row r="97" spans="1:21">
      <c r="A97" s="17"/>
      <c r="B97" s="17"/>
      <c r="C97" s="17"/>
      <c r="D97" s="27"/>
      <c r="E97" s="33">
        <f>E57+(E69/2)+E91</f>
        <v>6.1042424242424245</v>
      </c>
      <c r="F97" s="17" t="str">
        <f>"A &lt; "&amp;E63&amp;" A"</f>
        <v>A &lt; 6,4 A</v>
      </c>
      <c r="G97" s="17"/>
      <c r="H97" s="17"/>
      <c r="I97" s="17"/>
      <c r="J97" s="17"/>
      <c r="K97" s="17"/>
      <c r="L97" s="17"/>
      <c r="M97" s="27" t="s">
        <v>25</v>
      </c>
      <c r="N97" s="20" t="str">
        <f>IF(E97&lt;E63,"OK","NG")</f>
        <v>OK</v>
      </c>
      <c r="O97" s="17"/>
      <c r="P97" s="17"/>
      <c r="Q97" s="17"/>
      <c r="R97" s="17"/>
      <c r="S97" s="119"/>
      <c r="T97" s="119"/>
      <c r="U97" s="119"/>
    </row>
    <row r="98" spans="1:21">
      <c r="A98" s="17"/>
      <c r="B98" s="17"/>
      <c r="C98" s="17"/>
      <c r="D98" s="17"/>
      <c r="E98" s="17"/>
      <c r="F98" s="17"/>
      <c r="G98" s="17"/>
      <c r="H98" s="17"/>
      <c r="I98" s="17"/>
      <c r="J98" s="17"/>
      <c r="K98" s="17"/>
      <c r="L98" s="17"/>
      <c r="M98" s="17"/>
      <c r="N98" s="17"/>
      <c r="O98" s="17"/>
      <c r="P98" s="17"/>
      <c r="Q98" s="17"/>
      <c r="R98" s="17"/>
      <c r="S98" s="119"/>
      <c r="T98" s="119"/>
      <c r="U98" s="119"/>
    </row>
    <row r="99" spans="1:21">
      <c r="A99" s="17"/>
      <c r="B99" s="17"/>
      <c r="C99" s="17"/>
      <c r="D99" s="17"/>
      <c r="E99" s="17"/>
      <c r="F99" s="17"/>
      <c r="G99" s="17"/>
      <c r="H99" s="17"/>
      <c r="I99" s="17"/>
      <c r="J99" s="17"/>
      <c r="K99" s="17"/>
      <c r="L99" s="17"/>
      <c r="M99" s="17"/>
      <c r="N99" s="17"/>
      <c r="O99" s="17"/>
      <c r="P99" s="17"/>
      <c r="Q99" s="17"/>
      <c r="R99" s="17"/>
      <c r="S99" s="119"/>
      <c r="T99" s="119"/>
      <c r="U99" s="119"/>
    </row>
    <row r="100" spans="1:21">
      <c r="A100" s="17"/>
      <c r="B100" s="17"/>
      <c r="C100" s="17"/>
      <c r="D100" s="17"/>
      <c r="E100" s="17"/>
      <c r="F100" s="17"/>
      <c r="G100" s="17"/>
      <c r="H100" s="17"/>
      <c r="I100" s="17"/>
      <c r="J100" s="17"/>
      <c r="K100" s="17"/>
      <c r="L100" s="17"/>
      <c r="M100" s="17"/>
      <c r="N100" s="17"/>
      <c r="O100" s="17"/>
      <c r="P100" s="17"/>
      <c r="Q100" s="17"/>
      <c r="R100" s="17"/>
      <c r="S100" s="119"/>
      <c r="T100" s="119"/>
      <c r="U100" s="119"/>
    </row>
    <row r="101" spans="1:21" ht="13.5">
      <c r="A101" s="17"/>
      <c r="B101" s="17"/>
      <c r="C101" s="2" t="s">
        <v>290</v>
      </c>
      <c r="D101" s="17"/>
      <c r="E101" s="17"/>
      <c r="F101" s="17"/>
      <c r="G101" s="17"/>
      <c r="H101" s="17"/>
      <c r="I101" s="17"/>
      <c r="J101" s="17"/>
      <c r="K101" s="17"/>
      <c r="L101" s="17"/>
      <c r="M101" s="17"/>
      <c r="N101" s="17"/>
      <c r="O101" s="17"/>
      <c r="P101" s="17"/>
      <c r="Q101" s="17"/>
      <c r="R101" s="17"/>
      <c r="S101" s="119"/>
      <c r="T101" s="119"/>
      <c r="U101" s="119"/>
    </row>
    <row r="102" spans="1:21">
      <c r="A102" s="17"/>
      <c r="B102" s="17"/>
      <c r="C102" s="17"/>
      <c r="D102" s="17"/>
      <c r="E102" s="17"/>
      <c r="F102" s="17"/>
      <c r="G102" s="17"/>
      <c r="H102" s="17"/>
      <c r="I102" s="17"/>
      <c r="J102" s="17"/>
      <c r="K102" s="17"/>
      <c r="L102" s="17"/>
      <c r="M102" s="17"/>
      <c r="N102" s="17"/>
      <c r="O102" s="17"/>
      <c r="P102" s="17"/>
      <c r="Q102" s="17"/>
      <c r="R102" s="17"/>
      <c r="S102" s="119"/>
      <c r="T102" s="119"/>
      <c r="U102" s="119"/>
    </row>
    <row r="103" spans="1:21" ht="13.5">
      <c r="A103" s="17"/>
      <c r="B103" s="17"/>
      <c r="C103" s="17" t="s">
        <v>204</v>
      </c>
      <c r="D103" s="17"/>
      <c r="E103" s="17"/>
      <c r="F103" s="17"/>
      <c r="G103" s="17"/>
      <c r="H103" s="17"/>
      <c r="I103" s="17"/>
      <c r="J103" s="17"/>
      <c r="K103" s="17"/>
      <c r="L103" s="17"/>
      <c r="M103" s="17"/>
      <c r="N103" s="17"/>
      <c r="O103" s="17"/>
      <c r="P103" s="17"/>
      <c r="Q103" s="17"/>
      <c r="R103" s="17"/>
      <c r="S103" s="119"/>
      <c r="T103" s="119"/>
      <c r="U103" s="119"/>
    </row>
    <row r="104" spans="1:21">
      <c r="A104" s="17"/>
      <c r="B104" s="17"/>
      <c r="C104" s="17"/>
      <c r="D104" s="17"/>
      <c r="E104" s="17"/>
      <c r="F104" s="17"/>
      <c r="G104" s="17"/>
      <c r="H104" s="17"/>
      <c r="I104" s="17"/>
      <c r="J104" s="17"/>
      <c r="K104" s="17"/>
      <c r="L104" s="17"/>
      <c r="M104" s="17"/>
      <c r="N104" s="17"/>
      <c r="O104" s="17"/>
      <c r="P104" s="17"/>
      <c r="Q104" s="17"/>
      <c r="R104" s="17"/>
      <c r="S104" s="119"/>
      <c r="T104" s="119"/>
      <c r="U104" s="119"/>
    </row>
    <row r="105" spans="1:21">
      <c r="A105" s="17"/>
      <c r="B105" s="17"/>
      <c r="C105" s="17"/>
      <c r="D105" s="17"/>
      <c r="E105" s="17"/>
      <c r="F105" s="17"/>
      <c r="G105" s="17"/>
      <c r="H105" s="17"/>
      <c r="I105" s="17"/>
      <c r="J105" s="17"/>
      <c r="K105" s="17"/>
      <c r="L105" s="17"/>
      <c r="M105" s="17"/>
      <c r="N105" s="17"/>
      <c r="O105" s="17"/>
      <c r="P105" s="17"/>
      <c r="Q105" s="17"/>
      <c r="R105" s="17"/>
      <c r="S105" s="119"/>
      <c r="T105" s="119"/>
      <c r="U105" s="119"/>
    </row>
    <row r="106" spans="1:21" ht="14.25">
      <c r="A106" s="17"/>
      <c r="B106" s="17"/>
      <c r="C106" s="17"/>
      <c r="D106" s="85" t="s">
        <v>285</v>
      </c>
      <c r="E106" s="33">
        <f>E28*(E23-E28)*(1/(E23*E61/1000*E50))</f>
        <v>1.6835016835016834</v>
      </c>
      <c r="F106" s="17" t="s">
        <v>11</v>
      </c>
      <c r="G106" s="17"/>
      <c r="H106" s="17"/>
      <c r="I106" s="17"/>
      <c r="J106" s="17"/>
      <c r="K106" s="17"/>
      <c r="L106" s="17"/>
      <c r="M106" s="17"/>
      <c r="N106" s="17"/>
      <c r="O106" s="17"/>
      <c r="P106" s="17"/>
      <c r="Q106" s="17"/>
      <c r="R106" s="17"/>
      <c r="S106" s="119"/>
      <c r="T106" s="119"/>
      <c r="U106" s="119"/>
    </row>
    <row r="107" spans="1:21">
      <c r="A107" s="17"/>
      <c r="B107" s="17"/>
      <c r="C107" s="17"/>
      <c r="D107" s="17"/>
      <c r="E107" s="17"/>
      <c r="F107" s="17"/>
      <c r="G107" s="17"/>
      <c r="H107" s="17"/>
      <c r="I107" s="17"/>
      <c r="J107" s="17"/>
      <c r="K107" s="17"/>
      <c r="L107" s="17"/>
      <c r="M107" s="17"/>
      <c r="N107" s="17"/>
      <c r="O107" s="17"/>
      <c r="P107" s="17"/>
      <c r="Q107" s="17"/>
      <c r="R107" s="17"/>
      <c r="S107" s="119"/>
      <c r="T107" s="119"/>
      <c r="U107" s="119"/>
    </row>
    <row r="108" spans="1:21" ht="13.5">
      <c r="A108" s="17"/>
      <c r="B108" s="17"/>
      <c r="C108" s="17" t="s">
        <v>205</v>
      </c>
      <c r="D108" s="17"/>
      <c r="E108" s="17"/>
      <c r="F108" s="17"/>
      <c r="G108" s="17"/>
      <c r="H108" s="17"/>
      <c r="I108" s="17"/>
      <c r="J108" s="17"/>
      <c r="K108" s="17"/>
      <c r="L108" s="17"/>
      <c r="M108" s="17"/>
      <c r="N108" s="17"/>
      <c r="O108" s="17"/>
      <c r="P108" s="17"/>
      <c r="Q108" s="17"/>
      <c r="R108" s="17"/>
      <c r="S108" s="119"/>
      <c r="T108" s="119"/>
      <c r="U108" s="119"/>
    </row>
    <row r="109" spans="1:21">
      <c r="A109" s="17"/>
      <c r="B109" s="17"/>
      <c r="C109" s="17"/>
      <c r="D109" s="17"/>
      <c r="E109" s="17"/>
      <c r="F109" s="17"/>
      <c r="G109" s="17"/>
      <c r="H109" s="17"/>
      <c r="I109" s="17"/>
      <c r="J109" s="17"/>
      <c r="K109" s="17"/>
      <c r="L109" s="17"/>
      <c r="M109" s="17"/>
      <c r="N109" s="17"/>
      <c r="O109" s="17"/>
      <c r="P109" s="17"/>
      <c r="Q109" s="17"/>
      <c r="R109" s="17"/>
      <c r="S109" s="119"/>
      <c r="T109" s="119"/>
      <c r="U109" s="119"/>
    </row>
    <row r="110" spans="1:21">
      <c r="A110" s="17"/>
      <c r="B110" s="17"/>
      <c r="C110" s="17"/>
      <c r="D110" s="17"/>
      <c r="E110" s="17"/>
      <c r="F110" s="17"/>
      <c r="G110" s="17"/>
      <c r="H110" s="17"/>
      <c r="I110" s="17"/>
      <c r="J110" s="17"/>
      <c r="K110" s="17"/>
      <c r="L110" s="17"/>
      <c r="M110" s="17"/>
      <c r="N110" s="17"/>
      <c r="O110" s="17"/>
      <c r="P110" s="17"/>
      <c r="Q110" s="17"/>
      <c r="R110" s="17"/>
      <c r="S110" s="119"/>
      <c r="T110" s="119"/>
      <c r="U110" s="119"/>
    </row>
    <row r="111" spans="1:21" ht="14.25">
      <c r="A111" s="17"/>
      <c r="B111" s="17"/>
      <c r="C111" s="17"/>
      <c r="D111" s="85"/>
      <c r="E111" s="33">
        <f>(((E63-E57-E106/2)*(E62/1000))/E28)*1000000-SUM(E53:E54)</f>
        <v>79.343434343434495</v>
      </c>
      <c r="F111" s="17" t="s">
        <v>14</v>
      </c>
      <c r="G111" s="56" t="s">
        <v>228</v>
      </c>
      <c r="H111" s="33">
        <f>E56</f>
        <v>0</v>
      </c>
      <c r="I111" s="17" t="s">
        <v>14</v>
      </c>
      <c r="J111" s="17"/>
      <c r="K111" s="17"/>
      <c r="L111" s="27"/>
      <c r="M111" s="27" t="s">
        <v>25</v>
      </c>
      <c r="N111" s="20" t="str">
        <f>IF(H111&lt;E111,"OK","NG")</f>
        <v>OK</v>
      </c>
      <c r="O111" s="17"/>
      <c r="P111" s="17"/>
      <c r="Q111" s="17"/>
      <c r="R111" s="17"/>
      <c r="S111" s="119"/>
      <c r="T111" s="119"/>
      <c r="U111" s="119"/>
    </row>
    <row r="112" spans="1:21">
      <c r="A112" s="17"/>
      <c r="B112" s="17"/>
      <c r="C112" s="17"/>
      <c r="D112" s="17"/>
      <c r="E112" s="17"/>
      <c r="F112" s="17"/>
      <c r="G112" s="17"/>
      <c r="H112" s="17"/>
      <c r="I112" s="17"/>
      <c r="J112" s="17"/>
      <c r="K112" s="17"/>
      <c r="L112" s="17"/>
      <c r="M112" s="17"/>
      <c r="N112" s="17"/>
      <c r="O112" s="17"/>
      <c r="P112" s="17"/>
      <c r="Q112" s="17"/>
      <c r="R112" s="17"/>
      <c r="S112" s="119"/>
      <c r="T112" s="119"/>
      <c r="U112" s="119"/>
    </row>
    <row r="113" spans="1:21">
      <c r="A113" s="17"/>
      <c r="B113" s="17"/>
      <c r="C113" s="17"/>
      <c r="D113" s="17"/>
      <c r="E113" s="17"/>
      <c r="F113" s="17"/>
      <c r="G113" s="17"/>
      <c r="H113" s="17"/>
      <c r="I113" s="17"/>
      <c r="J113" s="17"/>
      <c r="K113" s="17"/>
      <c r="L113" s="17"/>
      <c r="M113" s="17"/>
      <c r="N113" s="17"/>
      <c r="O113" s="17"/>
      <c r="P113" s="17"/>
      <c r="Q113" s="17"/>
      <c r="R113" s="17"/>
      <c r="S113" s="119"/>
      <c r="T113" s="119"/>
      <c r="U113" s="119"/>
    </row>
    <row r="114" spans="1:21">
      <c r="A114" s="17"/>
      <c r="B114" s="17"/>
      <c r="C114" s="17"/>
      <c r="D114" s="17"/>
      <c r="E114" s="17"/>
      <c r="F114" s="17"/>
      <c r="G114" s="17"/>
      <c r="H114" s="17"/>
      <c r="I114" s="17"/>
      <c r="J114" s="17"/>
      <c r="K114" s="17"/>
      <c r="L114" s="86"/>
      <c r="M114" s="27"/>
      <c r="N114" s="17"/>
      <c r="O114" s="17"/>
      <c r="P114" s="17"/>
      <c r="Q114" s="17"/>
      <c r="R114" s="17"/>
      <c r="S114" s="119"/>
      <c r="T114" s="119"/>
      <c r="U114" s="119"/>
    </row>
    <row r="115" spans="1:21">
      <c r="A115" s="17"/>
      <c r="B115" s="17"/>
      <c r="C115" s="17"/>
      <c r="D115" s="17"/>
      <c r="E115" s="17"/>
      <c r="F115" s="17"/>
      <c r="G115" s="17"/>
      <c r="H115" s="17"/>
      <c r="I115" s="17"/>
      <c r="J115" s="17"/>
      <c r="K115" s="17"/>
      <c r="L115" s="17"/>
      <c r="M115" s="17"/>
      <c r="N115" s="17"/>
      <c r="O115" s="17"/>
      <c r="P115" s="17"/>
      <c r="Q115" s="17"/>
      <c r="R115" s="17"/>
      <c r="S115" s="119"/>
      <c r="T115" s="119"/>
      <c r="U115" s="119"/>
    </row>
    <row r="116" spans="1:21">
      <c r="A116" s="17"/>
      <c r="B116" s="17"/>
      <c r="C116" s="17"/>
      <c r="D116" s="17"/>
      <c r="E116" s="17"/>
      <c r="F116" s="17"/>
      <c r="G116" s="17"/>
      <c r="H116" s="17"/>
      <c r="I116" s="17"/>
      <c r="J116" s="17"/>
      <c r="K116" s="17"/>
      <c r="L116" s="17"/>
      <c r="M116" s="17"/>
      <c r="N116" s="17"/>
      <c r="O116" s="17"/>
      <c r="P116" s="17"/>
      <c r="Q116" s="17"/>
      <c r="R116" s="17"/>
      <c r="S116" s="119"/>
      <c r="T116" s="119"/>
      <c r="U116" s="119"/>
    </row>
    <row r="117" spans="1:21" ht="18">
      <c r="A117" s="17"/>
      <c r="B117" s="23" t="s">
        <v>291</v>
      </c>
      <c r="C117" s="17"/>
      <c r="D117" s="17"/>
      <c r="E117" s="17"/>
      <c r="F117" s="17"/>
      <c r="G117" s="17"/>
      <c r="H117" s="17"/>
      <c r="I117" s="17"/>
      <c r="J117" s="17"/>
      <c r="K117" s="17"/>
      <c r="L117" s="17"/>
      <c r="M117" s="17"/>
      <c r="N117" s="39"/>
      <c r="O117" s="39"/>
      <c r="P117" s="39"/>
      <c r="Q117" s="39"/>
      <c r="R117" s="17"/>
      <c r="S117" s="119"/>
      <c r="T117" s="119"/>
      <c r="U117" s="119"/>
    </row>
    <row r="118" spans="1:21">
      <c r="A118" s="17"/>
      <c r="B118" s="17"/>
      <c r="C118" s="17"/>
      <c r="D118" s="17"/>
      <c r="E118" s="17"/>
      <c r="F118" s="17"/>
      <c r="G118" s="17"/>
      <c r="H118" s="17"/>
      <c r="I118" s="17"/>
      <c r="J118" s="17"/>
      <c r="K118" s="17"/>
      <c r="L118" s="17"/>
      <c r="M118" s="17"/>
      <c r="N118" s="39"/>
      <c r="O118" s="39"/>
      <c r="P118" s="39"/>
      <c r="Q118" s="39"/>
      <c r="R118" s="17"/>
      <c r="S118" s="119"/>
      <c r="T118" s="119"/>
      <c r="U118" s="119"/>
    </row>
    <row r="119" spans="1:21">
      <c r="A119" s="17"/>
      <c r="B119" s="17"/>
      <c r="C119" s="24" t="s">
        <v>292</v>
      </c>
      <c r="D119" s="17"/>
      <c r="E119" s="17"/>
      <c r="F119" s="17"/>
      <c r="G119" s="17"/>
      <c r="H119" s="17"/>
      <c r="I119" s="17"/>
      <c r="J119" s="17"/>
      <c r="K119" s="17"/>
      <c r="L119" s="17"/>
      <c r="M119" s="17"/>
      <c r="N119" s="40"/>
      <c r="O119" s="39"/>
      <c r="P119" s="39"/>
      <c r="Q119" s="39"/>
      <c r="R119" s="17"/>
      <c r="S119" s="119"/>
      <c r="T119" s="119"/>
      <c r="U119" s="119"/>
    </row>
    <row r="120" spans="1:21" ht="24" customHeight="1">
      <c r="A120" s="17"/>
      <c r="B120" s="17"/>
      <c r="C120" s="82" t="s">
        <v>187</v>
      </c>
      <c r="D120" s="82" t="s">
        <v>188</v>
      </c>
      <c r="E120" s="41" t="s">
        <v>189</v>
      </c>
      <c r="F120" s="41" t="s">
        <v>190</v>
      </c>
      <c r="G120" s="170" t="s">
        <v>17</v>
      </c>
      <c r="H120" s="171"/>
      <c r="I120" s="172"/>
      <c r="J120" s="17"/>
      <c r="K120" s="17"/>
      <c r="L120" s="17"/>
      <c r="M120" s="17"/>
      <c r="N120" s="39"/>
      <c r="O120" s="39"/>
      <c r="P120" s="39"/>
      <c r="Q120" s="39"/>
      <c r="R120" s="17"/>
      <c r="S120" s="119"/>
      <c r="T120" s="119"/>
      <c r="U120" s="119"/>
    </row>
    <row r="121" spans="1:21" ht="13.5">
      <c r="A121" s="17"/>
      <c r="B121" s="17"/>
      <c r="C121" s="25" t="s">
        <v>341</v>
      </c>
      <c r="D121" s="82" t="s">
        <v>342</v>
      </c>
      <c r="E121" s="120">
        <f>E132</f>
        <v>392.76962817131221</v>
      </c>
      <c r="F121" s="41" t="s">
        <v>273</v>
      </c>
      <c r="G121" s="130" t="s">
        <v>300</v>
      </c>
      <c r="H121" s="131"/>
      <c r="I121" s="7"/>
      <c r="J121" s="17"/>
      <c r="K121" s="17"/>
      <c r="L121" s="17"/>
      <c r="M121" s="17"/>
      <c r="N121" s="39"/>
      <c r="O121" s="39"/>
      <c r="P121" s="39"/>
      <c r="Q121" s="39"/>
      <c r="R121" s="17"/>
      <c r="S121" s="119" t="s">
        <v>312</v>
      </c>
      <c r="T121" s="119"/>
      <c r="U121" s="119"/>
    </row>
    <row r="122" spans="1:21" ht="13.5">
      <c r="A122" s="17"/>
      <c r="B122" s="17"/>
      <c r="C122" s="117" t="s">
        <v>293</v>
      </c>
      <c r="D122" s="82" t="s">
        <v>301</v>
      </c>
      <c r="E122" s="45">
        <v>22</v>
      </c>
      <c r="F122" s="41" t="s">
        <v>272</v>
      </c>
      <c r="G122" s="87" t="str">
        <f>"47 kΩ (typ); "&amp;E128&amp;" kΩ to "&amp;E130&amp;" kΩ"</f>
        <v>47 kΩ (typ); 12,5 kΩ to 102 kΩ</v>
      </c>
      <c r="H122" s="88"/>
      <c r="I122" s="89"/>
      <c r="J122" s="17"/>
      <c r="K122" s="17"/>
      <c r="L122" s="17"/>
      <c r="M122" s="17"/>
      <c r="N122" s="39"/>
      <c r="O122" s="39"/>
      <c r="P122" s="39"/>
      <c r="Q122" s="39"/>
      <c r="R122" s="17"/>
      <c r="S122" s="119" t="s">
        <v>315</v>
      </c>
      <c r="T122" s="119" t="s">
        <v>313</v>
      </c>
      <c r="U122" s="119" t="s">
        <v>314</v>
      </c>
    </row>
    <row r="123" spans="1:21">
      <c r="A123" s="17"/>
      <c r="B123" s="17"/>
      <c r="C123" s="17"/>
      <c r="D123" s="17"/>
      <c r="E123" s="17"/>
      <c r="F123" s="17"/>
      <c r="G123" s="17"/>
      <c r="H123" s="17"/>
      <c r="I123" s="17"/>
      <c r="J123" s="17"/>
      <c r="K123" s="17"/>
      <c r="L123" s="17"/>
      <c r="M123" s="17"/>
      <c r="N123" s="39"/>
      <c r="O123" s="39"/>
      <c r="P123" s="39"/>
      <c r="Q123" s="39"/>
      <c r="R123" s="17"/>
      <c r="S123" s="119"/>
      <c r="T123" s="119"/>
      <c r="U123" s="119"/>
    </row>
    <row r="124" spans="1:21" ht="24" customHeight="1">
      <c r="A124" s="17"/>
      <c r="B124" s="17"/>
      <c r="C124" s="82" t="s">
        <v>191</v>
      </c>
      <c r="D124" s="82" t="s">
        <v>188</v>
      </c>
      <c r="E124" s="41" t="s">
        <v>189</v>
      </c>
      <c r="F124" s="41" t="s">
        <v>190</v>
      </c>
      <c r="G124" s="17"/>
      <c r="H124" s="17"/>
      <c r="I124" s="17"/>
      <c r="J124" s="17"/>
      <c r="K124" s="17"/>
      <c r="L124" s="17"/>
      <c r="M124" s="17"/>
      <c r="N124" s="27"/>
      <c r="O124" s="17"/>
      <c r="P124" s="17"/>
      <c r="Q124" s="17"/>
      <c r="R124" s="17"/>
      <c r="S124" s="119"/>
      <c r="T124" s="119"/>
      <c r="U124" s="119"/>
    </row>
    <row r="125" spans="1:21" ht="13.5">
      <c r="A125" s="17"/>
      <c r="B125" s="17"/>
      <c r="C125" s="168" t="s">
        <v>297</v>
      </c>
      <c r="D125" s="82" t="s">
        <v>298</v>
      </c>
      <c r="E125" s="153">
        <v>100</v>
      </c>
      <c r="F125" s="41" t="s">
        <v>273</v>
      </c>
      <c r="G125" s="17"/>
      <c r="H125" s="17"/>
      <c r="I125" s="17"/>
      <c r="J125" s="17"/>
      <c r="K125" s="17"/>
      <c r="L125" s="17"/>
      <c r="M125" s="17"/>
      <c r="N125" s="28"/>
      <c r="O125" s="17"/>
      <c r="P125" s="17"/>
      <c r="Q125" s="17"/>
      <c r="R125" s="17"/>
      <c r="S125" s="119"/>
      <c r="T125" s="119"/>
      <c r="U125" s="119"/>
    </row>
    <row r="126" spans="1:21" ht="13.5" customHeight="1">
      <c r="A126" s="17"/>
      <c r="B126" s="17"/>
      <c r="C126" s="169"/>
      <c r="D126" s="82" t="s">
        <v>299</v>
      </c>
      <c r="E126" s="153">
        <v>650</v>
      </c>
      <c r="F126" s="41" t="s">
        <v>273</v>
      </c>
      <c r="G126" s="17"/>
      <c r="H126" s="17"/>
      <c r="I126" s="17"/>
      <c r="J126" s="17"/>
      <c r="K126" s="17"/>
      <c r="L126" s="17"/>
      <c r="M126" s="17"/>
      <c r="N126" s="17"/>
      <c r="O126" s="17"/>
      <c r="P126" s="17"/>
      <c r="Q126" s="17"/>
      <c r="R126" s="17"/>
      <c r="S126" s="119"/>
      <c r="T126" s="119"/>
      <c r="U126" s="119"/>
    </row>
    <row r="127" spans="1:21">
      <c r="A127" s="17"/>
      <c r="B127" s="17"/>
      <c r="C127" s="17"/>
      <c r="D127" s="17"/>
      <c r="E127" s="17"/>
      <c r="F127" s="17"/>
      <c r="G127" s="17"/>
      <c r="H127" s="17"/>
      <c r="I127" s="17"/>
      <c r="J127" s="17"/>
      <c r="K127" s="17"/>
      <c r="L127" s="17"/>
      <c r="M127" s="17"/>
      <c r="N127" s="39"/>
      <c r="O127" s="39"/>
      <c r="P127" s="39"/>
      <c r="Q127" s="39"/>
      <c r="R127" s="17"/>
      <c r="S127" s="119"/>
      <c r="T127" s="119"/>
      <c r="U127" s="119"/>
    </row>
    <row r="128" spans="1:21">
      <c r="A128" s="17"/>
      <c r="B128" s="17"/>
      <c r="C128" s="17"/>
      <c r="D128" s="28" t="s">
        <v>294</v>
      </c>
      <c r="E128" s="37">
        <f>ROUNDUP(18423/(E126^1.127),1)</f>
        <v>12.5</v>
      </c>
      <c r="F128" s="17" t="s">
        <v>295</v>
      </c>
      <c r="G128" s="17"/>
      <c r="H128" s="17"/>
      <c r="I128" s="17"/>
      <c r="J128" s="17"/>
      <c r="K128" s="17"/>
      <c r="L128" s="17"/>
      <c r="M128" s="17"/>
      <c r="N128" s="17"/>
      <c r="O128" s="17"/>
      <c r="P128" s="17"/>
      <c r="Q128" s="17"/>
      <c r="R128" s="17"/>
      <c r="S128" s="119"/>
      <c r="T128" s="119"/>
      <c r="U128" s="119"/>
    </row>
    <row r="129" spans="1:21">
      <c r="A129" s="17"/>
      <c r="B129" s="17"/>
      <c r="C129" s="17"/>
      <c r="D129" s="17"/>
      <c r="E129" s="17"/>
      <c r="F129" s="17"/>
      <c r="G129" s="17"/>
      <c r="H129" s="17"/>
      <c r="I129" s="17"/>
      <c r="J129" s="17"/>
      <c r="K129" s="17"/>
      <c r="L129" s="17"/>
      <c r="M129" s="17"/>
      <c r="N129" s="17"/>
      <c r="O129" s="17"/>
      <c r="P129" s="17"/>
      <c r="Q129" s="17"/>
      <c r="R129" s="17"/>
      <c r="S129" s="119"/>
      <c r="T129" s="119"/>
      <c r="U129" s="119"/>
    </row>
    <row r="130" spans="1:21">
      <c r="A130" s="17"/>
      <c r="B130" s="17"/>
      <c r="C130" s="17"/>
      <c r="D130" s="28" t="s">
        <v>296</v>
      </c>
      <c r="E130" s="38">
        <f>ROUNDDOWN(18423/(E125^1.127),0)</f>
        <v>102</v>
      </c>
      <c r="F130" s="17" t="s">
        <v>295</v>
      </c>
      <c r="G130" s="17"/>
      <c r="H130" s="17"/>
      <c r="I130" s="17"/>
      <c r="J130" s="17"/>
      <c r="K130" s="17"/>
      <c r="L130" s="17"/>
      <c r="M130" s="17"/>
      <c r="N130" s="17"/>
      <c r="O130" s="17"/>
      <c r="P130" s="17"/>
      <c r="Q130" s="17"/>
      <c r="R130" s="17"/>
      <c r="S130" s="119"/>
      <c r="T130" s="119"/>
      <c r="U130" s="119"/>
    </row>
    <row r="131" spans="1:21">
      <c r="A131" s="17"/>
      <c r="B131" s="17"/>
      <c r="C131" s="17"/>
      <c r="D131" s="28"/>
      <c r="E131" s="17"/>
      <c r="F131" s="17"/>
      <c r="G131" s="17"/>
      <c r="H131" s="17"/>
      <c r="I131" s="17"/>
      <c r="J131" s="17"/>
      <c r="K131" s="17"/>
      <c r="L131" s="17"/>
      <c r="M131" s="27" t="s">
        <v>25</v>
      </c>
      <c r="N131" s="20" t="str">
        <f>IF(AND(E121&gt;=E125,E121&lt;=E126),"OK","NG")</f>
        <v>OK</v>
      </c>
      <c r="O131" s="17"/>
      <c r="P131" s="17"/>
      <c r="Q131" s="17"/>
      <c r="R131" s="17"/>
      <c r="S131" s="119"/>
      <c r="T131" s="119"/>
      <c r="U131" s="119"/>
    </row>
    <row r="132" spans="1:21">
      <c r="A132" s="17"/>
      <c r="B132" s="17"/>
      <c r="C132" s="17"/>
      <c r="D132" s="17"/>
      <c r="E132" s="35">
        <f>6093.5/(E122^0.887)</f>
        <v>392.76962817131221</v>
      </c>
      <c r="F132" s="17" t="s">
        <v>273</v>
      </c>
      <c r="G132" s="17"/>
      <c r="H132" s="17"/>
      <c r="I132" s="17"/>
      <c r="J132" s="17"/>
      <c r="K132" s="17"/>
      <c r="L132" s="17"/>
      <c r="M132" s="17"/>
      <c r="N132" s="17"/>
      <c r="O132" s="17"/>
      <c r="P132" s="17"/>
      <c r="Q132" s="17"/>
      <c r="R132" s="17"/>
      <c r="S132" s="119"/>
      <c r="T132" s="119"/>
      <c r="U132" s="119"/>
    </row>
    <row r="133" spans="1:21">
      <c r="A133" s="17"/>
      <c r="B133" s="17"/>
      <c r="C133" s="17"/>
      <c r="D133" s="17"/>
      <c r="E133" s="17"/>
      <c r="F133" s="17"/>
      <c r="G133" s="17"/>
      <c r="H133" s="17"/>
      <c r="I133" s="17"/>
      <c r="J133" s="17"/>
      <c r="K133" s="17"/>
      <c r="L133" s="17"/>
      <c r="M133" s="17"/>
      <c r="N133" s="17"/>
      <c r="O133" s="17"/>
      <c r="P133" s="17"/>
      <c r="Q133" s="17"/>
      <c r="R133" s="17"/>
      <c r="S133" s="119"/>
      <c r="T133" s="119"/>
      <c r="U133" s="119"/>
    </row>
    <row r="134" spans="1:21">
      <c r="A134" s="17"/>
      <c r="B134" s="17"/>
      <c r="C134" s="17"/>
      <c r="D134" s="17"/>
      <c r="E134" s="17"/>
      <c r="F134" s="17"/>
      <c r="G134" s="17"/>
      <c r="H134" s="17"/>
      <c r="I134" s="17"/>
      <c r="J134" s="17"/>
      <c r="K134" s="17"/>
      <c r="L134" s="17"/>
      <c r="M134" s="17"/>
      <c r="N134" s="17"/>
      <c r="O134" s="17"/>
      <c r="P134" s="17"/>
      <c r="Q134" s="17"/>
      <c r="R134" s="17"/>
      <c r="S134" s="119"/>
      <c r="T134" s="119"/>
      <c r="U134" s="119"/>
    </row>
    <row r="135" spans="1:21">
      <c r="A135" s="17"/>
      <c r="B135" s="17"/>
      <c r="C135" s="17"/>
      <c r="D135" s="17"/>
      <c r="E135" s="17"/>
      <c r="F135" s="17"/>
      <c r="G135" s="17"/>
      <c r="H135" s="17"/>
      <c r="I135" s="17"/>
      <c r="J135" s="17"/>
      <c r="K135" s="17"/>
      <c r="L135" s="17"/>
      <c r="M135" s="17"/>
      <c r="N135" s="17"/>
      <c r="O135" s="17"/>
      <c r="P135" s="17"/>
      <c r="Q135" s="17"/>
      <c r="R135" s="17"/>
      <c r="S135" s="119"/>
      <c r="T135" s="119"/>
      <c r="U135" s="119"/>
    </row>
    <row r="136" spans="1:21">
      <c r="A136" s="17"/>
      <c r="B136" s="17"/>
      <c r="C136" s="17"/>
      <c r="D136" s="17"/>
      <c r="E136" s="17"/>
      <c r="F136" s="17"/>
      <c r="G136" s="17"/>
      <c r="H136" s="17"/>
      <c r="I136" s="17"/>
      <c r="J136" s="17"/>
      <c r="K136" s="17"/>
      <c r="L136" s="17"/>
      <c r="M136" s="17"/>
      <c r="N136" s="17"/>
      <c r="O136" s="17"/>
      <c r="P136" s="17"/>
      <c r="Q136" s="17"/>
      <c r="R136" s="17"/>
      <c r="S136" s="119"/>
      <c r="T136" s="119"/>
      <c r="U136" s="119"/>
    </row>
    <row r="137" spans="1:21" ht="18">
      <c r="A137" s="17"/>
      <c r="B137" s="23" t="s">
        <v>13</v>
      </c>
      <c r="C137" s="17"/>
      <c r="D137" s="17"/>
      <c r="E137" s="17"/>
      <c r="F137" s="17"/>
      <c r="G137" s="17"/>
      <c r="H137" s="17"/>
      <c r="I137" s="17"/>
      <c r="J137" s="17"/>
      <c r="K137" s="17"/>
      <c r="L137" s="17"/>
      <c r="M137" s="17"/>
      <c r="N137" s="17"/>
      <c r="O137" s="17"/>
      <c r="P137" s="17"/>
      <c r="Q137" s="17"/>
      <c r="R137" s="17"/>
      <c r="S137" s="119"/>
      <c r="T137" s="119"/>
      <c r="U137" s="119"/>
    </row>
    <row r="138" spans="1:21">
      <c r="A138" s="17"/>
      <c r="B138" s="17"/>
      <c r="C138" s="24" t="s">
        <v>317</v>
      </c>
      <c r="D138" s="17"/>
      <c r="E138" s="17"/>
      <c r="F138" s="17"/>
      <c r="G138" s="17"/>
      <c r="H138" s="17"/>
      <c r="I138" s="17"/>
      <c r="J138" s="17"/>
      <c r="K138" s="17"/>
      <c r="L138" s="17"/>
      <c r="M138" s="17"/>
      <c r="N138" s="17"/>
      <c r="O138" s="17"/>
      <c r="P138" s="17"/>
      <c r="Q138" s="17"/>
      <c r="R138" s="17"/>
      <c r="S138" s="119"/>
      <c r="T138" s="119"/>
      <c r="U138" s="119"/>
    </row>
    <row r="139" spans="1:21">
      <c r="A139" s="17"/>
      <c r="B139" s="17"/>
      <c r="C139" s="24"/>
      <c r="D139" s="17"/>
      <c r="E139" s="17"/>
      <c r="F139" s="17"/>
      <c r="G139" s="17"/>
      <c r="H139" s="17"/>
      <c r="I139" s="17"/>
      <c r="J139" s="17"/>
      <c r="K139" s="17"/>
      <c r="L139" s="17"/>
      <c r="M139" s="17"/>
      <c r="N139" s="17"/>
      <c r="O139" s="17"/>
      <c r="P139" s="17"/>
      <c r="Q139" s="17"/>
      <c r="R139" s="17"/>
      <c r="S139" s="119"/>
      <c r="T139" s="119"/>
      <c r="U139" s="119"/>
    </row>
    <row r="140" spans="1:21" ht="13.5">
      <c r="A140" s="17"/>
      <c r="B140" s="17"/>
      <c r="C140" s="51" t="s">
        <v>208</v>
      </c>
      <c r="D140" s="17"/>
      <c r="E140" s="17"/>
      <c r="F140" s="17"/>
      <c r="G140" s="17"/>
      <c r="H140" s="17"/>
      <c r="I140" s="17"/>
      <c r="J140" s="17"/>
      <c r="K140" s="17"/>
      <c r="L140" s="17"/>
      <c r="M140" s="17"/>
      <c r="N140" s="17"/>
      <c r="O140" s="17"/>
      <c r="P140" s="17"/>
      <c r="Q140" s="17"/>
      <c r="R140" s="17"/>
      <c r="S140" s="119"/>
      <c r="T140" s="119"/>
      <c r="U140" s="119"/>
    </row>
    <row r="141" spans="1:21" ht="13.5">
      <c r="A141" s="17"/>
      <c r="B141" s="17"/>
      <c r="C141" s="51" t="s">
        <v>346</v>
      </c>
      <c r="D141" s="17"/>
      <c r="E141" s="17"/>
      <c r="F141" s="17"/>
      <c r="G141" s="17"/>
      <c r="H141" s="17"/>
      <c r="I141" s="17"/>
      <c r="J141" s="17"/>
      <c r="K141" s="17"/>
      <c r="L141" s="17"/>
      <c r="M141" s="17"/>
      <c r="N141" s="17"/>
      <c r="O141" s="17"/>
      <c r="P141" s="17"/>
      <c r="Q141" s="17"/>
      <c r="R141" s="17"/>
      <c r="S141" s="119"/>
      <c r="T141" s="119"/>
      <c r="U141" s="119"/>
    </row>
    <row r="142" spans="1:21" ht="24" customHeight="1">
      <c r="A142" s="17"/>
      <c r="B142" s="17"/>
      <c r="C142" s="41" t="s">
        <v>209</v>
      </c>
      <c r="D142" s="41" t="s">
        <v>188</v>
      </c>
      <c r="E142" s="41" t="s">
        <v>189</v>
      </c>
      <c r="F142" s="41" t="s">
        <v>190</v>
      </c>
      <c r="G142" s="17"/>
      <c r="H142" s="17"/>
      <c r="I142" s="17"/>
      <c r="J142" s="17"/>
      <c r="K142" s="17"/>
      <c r="L142" s="17"/>
      <c r="M142" s="17"/>
      <c r="N142" s="17"/>
      <c r="O142" s="17"/>
      <c r="P142" s="17"/>
      <c r="Q142" s="17"/>
      <c r="R142" s="17"/>
      <c r="S142" s="119"/>
      <c r="T142" s="119"/>
      <c r="U142" s="119"/>
    </row>
    <row r="143" spans="1:21" ht="13.5">
      <c r="A143" s="17"/>
      <c r="B143" s="17"/>
      <c r="C143" s="41" t="s">
        <v>210</v>
      </c>
      <c r="D143" s="41" t="s">
        <v>211</v>
      </c>
      <c r="E143" s="49">
        <v>9</v>
      </c>
      <c r="F143" s="41" t="s">
        <v>186</v>
      </c>
      <c r="G143" s="17"/>
      <c r="H143" s="17"/>
      <c r="I143" s="17"/>
      <c r="J143" s="17"/>
      <c r="K143" s="17"/>
      <c r="L143" s="17"/>
      <c r="M143" s="17"/>
      <c r="N143" s="17"/>
      <c r="O143" s="17"/>
      <c r="P143" s="17"/>
      <c r="Q143" s="17"/>
      <c r="R143" s="17"/>
      <c r="S143" s="119" t="s">
        <v>321</v>
      </c>
      <c r="T143" s="119" t="s">
        <v>322</v>
      </c>
      <c r="U143" s="119"/>
    </row>
    <row r="144" spans="1:21" ht="13.5">
      <c r="A144" s="17"/>
      <c r="B144" s="17"/>
      <c r="C144" s="41" t="s">
        <v>212</v>
      </c>
      <c r="D144" s="41" t="s">
        <v>213</v>
      </c>
      <c r="E144" s="50">
        <v>0.5</v>
      </c>
      <c r="F144" s="41" t="s">
        <v>214</v>
      </c>
      <c r="G144" s="17"/>
      <c r="H144" s="17"/>
      <c r="I144" s="17"/>
      <c r="J144" s="17"/>
      <c r="K144" s="17"/>
      <c r="L144" s="17"/>
      <c r="M144" s="17"/>
      <c r="N144" s="17"/>
      <c r="O144" s="17"/>
      <c r="P144" s="17"/>
      <c r="Q144" s="17"/>
      <c r="R144" s="17"/>
      <c r="S144" s="119" t="s">
        <v>325</v>
      </c>
      <c r="T144" s="119" t="s">
        <v>326</v>
      </c>
      <c r="U144" s="119"/>
    </row>
    <row r="145" spans="1:21">
      <c r="A145" s="17"/>
      <c r="B145" s="17"/>
      <c r="C145" s="51"/>
      <c r="D145" s="17"/>
      <c r="E145" s="17"/>
      <c r="F145" s="17"/>
      <c r="G145" s="17"/>
      <c r="H145" s="17"/>
      <c r="I145" s="17"/>
      <c r="J145" s="17"/>
      <c r="K145" s="17"/>
      <c r="L145" s="17"/>
      <c r="M145" s="17"/>
      <c r="N145" s="17"/>
      <c r="O145" s="17"/>
      <c r="P145" s="17"/>
      <c r="Q145" s="17"/>
      <c r="R145" s="17"/>
      <c r="S145" s="119"/>
      <c r="T145" s="119"/>
      <c r="U145" s="119"/>
    </row>
    <row r="146" spans="1:21">
      <c r="A146" s="17"/>
      <c r="B146" s="17"/>
      <c r="C146" s="51"/>
      <c r="D146" s="17"/>
      <c r="E146" s="17"/>
      <c r="F146" s="17"/>
      <c r="G146" s="17"/>
      <c r="H146" s="17"/>
      <c r="I146" s="17"/>
      <c r="J146" s="17"/>
      <c r="K146" s="17"/>
      <c r="L146" s="17"/>
      <c r="M146" s="17"/>
      <c r="N146" s="17"/>
      <c r="O146" s="17"/>
      <c r="P146" s="17"/>
      <c r="Q146" s="17"/>
      <c r="R146" s="17"/>
      <c r="S146" s="119"/>
      <c r="T146" s="119"/>
      <c r="U146" s="119"/>
    </row>
    <row r="147" spans="1:21" ht="13.5">
      <c r="A147" s="17"/>
      <c r="B147" s="17"/>
      <c r="C147" s="17" t="s">
        <v>215</v>
      </c>
      <c r="D147" s="17"/>
      <c r="E147" s="17"/>
      <c r="F147" s="17"/>
      <c r="G147" s="17"/>
      <c r="H147" s="17"/>
      <c r="I147" s="17"/>
      <c r="J147" s="17"/>
      <c r="K147" s="17"/>
      <c r="L147" s="17"/>
      <c r="M147" s="17"/>
      <c r="N147" s="17"/>
      <c r="O147" s="17"/>
      <c r="P147" s="17"/>
      <c r="Q147" s="17"/>
      <c r="R147" s="17"/>
      <c r="S147" s="119"/>
      <c r="T147" s="119"/>
      <c r="U147" s="119"/>
    </row>
    <row r="148" spans="1:21" ht="24" customHeight="1">
      <c r="A148" s="17"/>
      <c r="B148" s="17"/>
      <c r="C148" s="41" t="s">
        <v>216</v>
      </c>
      <c r="D148" s="41" t="s">
        <v>188</v>
      </c>
      <c r="E148" s="41" t="s">
        <v>189</v>
      </c>
      <c r="F148" s="41" t="s">
        <v>217</v>
      </c>
      <c r="G148" s="17"/>
      <c r="H148" s="17"/>
      <c r="I148" s="17"/>
      <c r="J148" s="17"/>
      <c r="K148" s="17"/>
      <c r="L148" s="17"/>
      <c r="M148" s="17"/>
      <c r="N148" s="17"/>
      <c r="O148" s="17"/>
      <c r="P148" s="17"/>
      <c r="Q148" s="17"/>
      <c r="R148" s="17"/>
      <c r="S148" s="119"/>
      <c r="T148" s="119"/>
      <c r="U148" s="119"/>
    </row>
    <row r="149" spans="1:21" ht="13.5">
      <c r="A149" s="17"/>
      <c r="B149" s="17"/>
      <c r="C149" s="41" t="s">
        <v>218</v>
      </c>
      <c r="D149" s="41" t="s">
        <v>219</v>
      </c>
      <c r="E149" s="155">
        <v>14</v>
      </c>
      <c r="F149" s="41" t="s">
        <v>18</v>
      </c>
      <c r="G149" s="17"/>
      <c r="H149" s="17"/>
      <c r="I149" s="17"/>
      <c r="J149" s="17"/>
      <c r="K149" s="17"/>
      <c r="L149" s="17"/>
      <c r="M149" s="17"/>
      <c r="N149" s="17"/>
      <c r="O149" s="17"/>
      <c r="P149" s="17"/>
      <c r="Q149" s="17"/>
      <c r="R149" s="17"/>
      <c r="S149" s="119"/>
      <c r="T149" s="119"/>
      <c r="U149" s="119"/>
    </row>
    <row r="150" spans="1:21" ht="13.5">
      <c r="A150" s="17"/>
      <c r="B150" s="17"/>
      <c r="C150" s="41" t="s">
        <v>220</v>
      </c>
      <c r="D150" s="41" t="s">
        <v>221</v>
      </c>
      <c r="E150" s="155">
        <v>200</v>
      </c>
      <c r="F150" s="41" t="s">
        <v>37</v>
      </c>
      <c r="G150" s="17"/>
      <c r="H150" s="17"/>
      <c r="I150" s="17"/>
      <c r="J150" s="17"/>
      <c r="K150" s="17"/>
      <c r="L150" s="17"/>
      <c r="M150" s="17"/>
      <c r="N150" s="17"/>
      <c r="O150" s="17"/>
      <c r="P150" s="17"/>
      <c r="Q150" s="17"/>
      <c r="R150" s="17"/>
      <c r="S150" s="119"/>
      <c r="T150" s="119"/>
      <c r="U150" s="119"/>
    </row>
    <row r="151" spans="1:21">
      <c r="A151" s="17"/>
      <c r="B151" s="17"/>
      <c r="C151" s="51"/>
      <c r="D151" s="17"/>
      <c r="E151" s="17"/>
      <c r="F151" s="17"/>
      <c r="G151" s="17"/>
      <c r="H151" s="17"/>
      <c r="I151" s="17"/>
      <c r="J151" s="17"/>
      <c r="K151" s="17"/>
      <c r="L151" s="17"/>
      <c r="M151" s="17"/>
      <c r="N151" s="17"/>
      <c r="O151" s="17"/>
      <c r="P151" s="17"/>
      <c r="Q151" s="17"/>
      <c r="R151" s="17"/>
      <c r="S151" s="119"/>
      <c r="T151" s="119"/>
      <c r="U151" s="119"/>
    </row>
    <row r="152" spans="1:21" ht="13.5">
      <c r="A152" s="17"/>
      <c r="B152" s="17"/>
      <c r="C152" s="2" t="s">
        <v>318</v>
      </c>
      <c r="D152" s="17"/>
      <c r="E152" s="17"/>
      <c r="F152" s="17"/>
      <c r="G152" s="17"/>
      <c r="H152" s="17"/>
      <c r="I152" s="17"/>
      <c r="J152" s="17"/>
      <c r="K152" s="17"/>
      <c r="L152" s="17"/>
      <c r="M152" s="17"/>
      <c r="N152" s="17"/>
      <c r="O152" s="17"/>
      <c r="P152" s="17"/>
      <c r="Q152" s="17"/>
      <c r="R152" s="17"/>
      <c r="S152" s="119"/>
      <c r="T152" s="119"/>
      <c r="U152" s="119"/>
    </row>
    <row r="153" spans="1:21" ht="13.5">
      <c r="A153" s="17"/>
      <c r="B153" s="17"/>
      <c r="C153" s="17" t="s">
        <v>343</v>
      </c>
      <c r="D153" s="17"/>
      <c r="E153" s="17"/>
      <c r="F153" s="17"/>
      <c r="G153" s="17"/>
      <c r="H153" s="17"/>
      <c r="I153" s="17"/>
      <c r="J153" s="17"/>
      <c r="K153" s="17"/>
      <c r="L153" s="17"/>
      <c r="M153" s="17"/>
      <c r="N153" s="17"/>
      <c r="O153" s="17"/>
      <c r="P153" s="17"/>
      <c r="Q153" s="17"/>
      <c r="R153" s="17"/>
      <c r="S153" s="119"/>
      <c r="T153" s="119"/>
      <c r="U153" s="119"/>
    </row>
    <row r="154" spans="1:21" ht="12.75" thickBot="1">
      <c r="A154" s="17"/>
      <c r="B154" s="17"/>
      <c r="C154" s="17"/>
      <c r="D154" s="17"/>
      <c r="E154" s="17"/>
      <c r="F154" s="17"/>
      <c r="G154" s="17"/>
      <c r="H154" s="17"/>
      <c r="I154" s="17"/>
      <c r="J154" s="17"/>
      <c r="K154" s="17"/>
      <c r="L154" s="17"/>
      <c r="M154" s="17"/>
      <c r="N154" s="17"/>
      <c r="O154" s="17"/>
      <c r="P154" s="17"/>
      <c r="Q154" s="17"/>
      <c r="R154" s="17"/>
      <c r="S154" s="119"/>
      <c r="T154" s="119"/>
      <c r="U154" s="119"/>
    </row>
    <row r="155" spans="1:21" ht="24" customHeight="1">
      <c r="A155" s="17"/>
      <c r="B155" s="17"/>
      <c r="C155" s="17"/>
      <c r="D155" s="17"/>
      <c r="E155" s="17"/>
      <c r="F155" s="17"/>
      <c r="G155" s="17"/>
      <c r="H155" s="17"/>
      <c r="I155" s="17"/>
      <c r="J155" s="17"/>
      <c r="K155" s="17"/>
      <c r="L155" s="17"/>
      <c r="M155" s="91" t="s">
        <v>188</v>
      </c>
      <c r="N155" s="92" t="s">
        <v>189</v>
      </c>
      <c r="O155" s="93" t="s">
        <v>217</v>
      </c>
      <c r="P155" s="94" t="s">
        <v>222</v>
      </c>
      <c r="Q155" s="17"/>
      <c r="R155" s="17"/>
      <c r="S155" s="119"/>
      <c r="T155" s="119"/>
      <c r="U155" s="119"/>
    </row>
    <row r="156" spans="1:21" ht="15">
      <c r="A156" s="17"/>
      <c r="B156" s="17"/>
      <c r="C156" s="17"/>
      <c r="D156" s="52" t="s">
        <v>228</v>
      </c>
      <c r="E156" s="37">
        <f>((2*PI()*E28*(E143*1000)*(SUM(E53:E54)/1000000))/(E34*E149*E150/1000000))/1000</f>
        <v>105.01895442000166</v>
      </c>
      <c r="F156" s="51" t="s">
        <v>295</v>
      </c>
      <c r="G156" s="17"/>
      <c r="H156" s="17"/>
      <c r="I156" s="17"/>
      <c r="J156" s="17"/>
      <c r="K156" s="28"/>
      <c r="L156" s="28" t="s">
        <v>327</v>
      </c>
      <c r="M156" s="95" t="s">
        <v>323</v>
      </c>
      <c r="N156" s="49">
        <v>110</v>
      </c>
      <c r="O156" s="42" t="s">
        <v>295</v>
      </c>
      <c r="P156" s="96">
        <f>(N156-E156)/E156</f>
        <v>4.7429967356917992E-2</v>
      </c>
      <c r="Q156" s="17"/>
      <c r="R156" s="17"/>
      <c r="S156" s="119" t="s">
        <v>331</v>
      </c>
      <c r="T156" s="119"/>
      <c r="U156" s="119"/>
    </row>
    <row r="157" spans="1:21" ht="14.25" thickBot="1">
      <c r="A157" s="17"/>
      <c r="B157" s="17"/>
      <c r="C157" s="17"/>
      <c r="D157" s="17"/>
      <c r="E157" s="17"/>
      <c r="F157" s="17"/>
      <c r="G157" s="17"/>
      <c r="H157" s="17"/>
      <c r="I157" s="17"/>
      <c r="J157" s="17"/>
      <c r="K157" s="17"/>
      <c r="L157" s="97" t="s">
        <v>328</v>
      </c>
      <c r="M157" s="98" t="s">
        <v>223</v>
      </c>
      <c r="N157" s="55">
        <f>((N156*1000*E34*E149*E150/1000000) / (2*PI()*E28*(SUM(E53:E54)/1000000)))/1000</f>
        <v>9.4268697062122655</v>
      </c>
      <c r="O157" s="99" t="s">
        <v>224</v>
      </c>
      <c r="P157" s="100">
        <f>(N157-E143)/E143</f>
        <v>4.7429967356918387E-2</v>
      </c>
      <c r="Q157" s="17"/>
      <c r="R157" s="17"/>
      <c r="S157" s="119" t="s">
        <v>331</v>
      </c>
      <c r="T157" s="119"/>
      <c r="U157" s="119"/>
    </row>
    <row r="158" spans="1:21" ht="13.5">
      <c r="A158" s="17"/>
      <c r="B158" s="17"/>
      <c r="C158" s="17"/>
      <c r="D158" s="17"/>
      <c r="E158" s="17"/>
      <c r="F158" s="17"/>
      <c r="G158" s="17"/>
      <c r="H158" s="17"/>
      <c r="I158" s="17"/>
      <c r="J158" s="17"/>
      <c r="K158" s="17" t="s">
        <v>225</v>
      </c>
      <c r="L158" s="17"/>
      <c r="M158" s="17"/>
      <c r="N158" s="17"/>
      <c r="O158" s="17"/>
      <c r="P158" s="17"/>
      <c r="Q158" s="17"/>
      <c r="R158" s="17"/>
      <c r="S158" s="119"/>
      <c r="T158" s="119"/>
      <c r="U158" s="119"/>
    </row>
    <row r="159" spans="1:21" ht="13.5">
      <c r="A159" s="17"/>
      <c r="B159" s="17"/>
      <c r="C159" s="101" t="s">
        <v>319</v>
      </c>
      <c r="D159" s="17"/>
      <c r="E159" s="17"/>
      <c r="F159" s="17"/>
      <c r="G159" s="17"/>
      <c r="H159" s="17"/>
      <c r="I159" s="17"/>
      <c r="J159" s="17"/>
      <c r="K159" s="17"/>
      <c r="L159" s="17"/>
      <c r="M159" s="36"/>
      <c r="N159" s="17"/>
      <c r="O159" s="17"/>
      <c r="P159" s="17"/>
      <c r="Q159" s="17"/>
      <c r="R159" s="17"/>
      <c r="S159" s="119"/>
      <c r="T159" s="119"/>
      <c r="U159" s="119"/>
    </row>
    <row r="160" spans="1:21" ht="13.5">
      <c r="A160" s="17"/>
      <c r="B160" s="17"/>
      <c r="C160" s="17" t="s">
        <v>320</v>
      </c>
      <c r="D160" s="17"/>
      <c r="E160" s="17"/>
      <c r="F160" s="17"/>
      <c r="G160" s="17"/>
      <c r="H160" s="17"/>
      <c r="I160" s="17"/>
      <c r="J160" s="17"/>
      <c r="K160" s="17"/>
      <c r="L160" s="17"/>
      <c r="M160" s="17"/>
      <c r="N160" s="36"/>
      <c r="O160" s="17"/>
      <c r="P160" s="17"/>
      <c r="Q160" s="17"/>
      <c r="R160" s="17"/>
      <c r="S160" s="119"/>
      <c r="T160" s="119"/>
      <c r="U160" s="119"/>
    </row>
    <row r="161" spans="1:21" ht="12.75" thickBot="1">
      <c r="A161" s="17"/>
      <c r="B161" s="17"/>
      <c r="C161" s="17"/>
      <c r="D161" s="17"/>
      <c r="E161" s="17"/>
      <c r="F161" s="17"/>
      <c r="G161" s="17"/>
      <c r="H161" s="17"/>
      <c r="I161" s="17"/>
      <c r="J161" s="17"/>
      <c r="K161" s="17"/>
      <c r="L161" s="17"/>
      <c r="M161" s="17"/>
      <c r="N161" s="53"/>
      <c r="O161" s="17"/>
      <c r="P161" s="17"/>
      <c r="Q161" s="17"/>
      <c r="R161" s="17"/>
      <c r="S161" s="119"/>
      <c r="T161" s="119"/>
      <c r="U161" s="119"/>
    </row>
    <row r="162" spans="1:21" ht="24" customHeight="1">
      <c r="A162" s="17"/>
      <c r="B162" s="17"/>
      <c r="C162" s="17"/>
      <c r="D162" s="17"/>
      <c r="E162" s="17"/>
      <c r="F162" s="17"/>
      <c r="G162" s="17"/>
      <c r="H162" s="17"/>
      <c r="I162" s="17"/>
      <c r="J162" s="17"/>
      <c r="K162" s="17"/>
      <c r="L162" s="17"/>
      <c r="M162" s="91" t="s">
        <v>188</v>
      </c>
      <c r="N162" s="92" t="s">
        <v>189</v>
      </c>
      <c r="O162" s="93" t="s">
        <v>217</v>
      </c>
      <c r="P162" s="94" t="s">
        <v>222</v>
      </c>
      <c r="Q162" s="17"/>
      <c r="R162" s="17"/>
      <c r="S162" s="119"/>
      <c r="T162" s="119"/>
      <c r="U162" s="119"/>
    </row>
    <row r="163" spans="1:21" ht="15">
      <c r="A163" s="17"/>
      <c r="B163" s="2"/>
      <c r="C163" s="17"/>
      <c r="D163" s="52" t="s">
        <v>228</v>
      </c>
      <c r="E163" s="38">
        <f>(1/(2*PI()*E156*1000*E144*1000))*1000000000000</f>
        <v>3030.9755790442919</v>
      </c>
      <c r="F163" s="17" t="s">
        <v>226</v>
      </c>
      <c r="G163" s="17"/>
      <c r="H163" s="17"/>
      <c r="I163" s="17"/>
      <c r="J163" s="17"/>
      <c r="K163" s="17"/>
      <c r="L163" s="28" t="s">
        <v>329</v>
      </c>
      <c r="M163" s="95" t="s">
        <v>324</v>
      </c>
      <c r="N163" s="14">
        <v>3300</v>
      </c>
      <c r="O163" s="42" t="s">
        <v>226</v>
      </c>
      <c r="P163" s="96">
        <f>(N163-E163)/E163</f>
        <v>8.8758359788743413E-2</v>
      </c>
      <c r="Q163" s="17"/>
      <c r="R163" s="17"/>
      <c r="S163" s="119" t="s">
        <v>331</v>
      </c>
      <c r="T163" s="119" t="s">
        <v>339</v>
      </c>
      <c r="U163" s="119"/>
    </row>
    <row r="164" spans="1:21" ht="14.25" thickBot="1">
      <c r="A164" s="17"/>
      <c r="B164" s="17"/>
      <c r="C164" s="17"/>
      <c r="D164" s="17"/>
      <c r="E164" s="17"/>
      <c r="F164" s="17"/>
      <c r="G164" s="17"/>
      <c r="H164" s="17"/>
      <c r="I164" s="17"/>
      <c r="J164" s="17"/>
      <c r="K164" s="17"/>
      <c r="L164" s="97" t="s">
        <v>330</v>
      </c>
      <c r="M164" s="98" t="s">
        <v>258</v>
      </c>
      <c r="N164" s="54">
        <f>(E34*E149*E150/1000000)/(2*PI()*E28*SUM(E53:E54)/1000000*2*PI()*N163/1000000000000*E144*1000*9)/1000</f>
        <v>0.91847744819524035</v>
      </c>
      <c r="O164" s="99" t="s">
        <v>224</v>
      </c>
      <c r="P164" s="100">
        <f>(N164-E144)/E144</f>
        <v>0.83695489639048071</v>
      </c>
      <c r="Q164" s="17"/>
      <c r="R164" s="17"/>
      <c r="S164" s="119" t="s">
        <v>331</v>
      </c>
      <c r="T164" s="119" t="s">
        <v>333</v>
      </c>
      <c r="U164" s="119"/>
    </row>
    <row r="165" spans="1:21" ht="13.5">
      <c r="A165" s="17"/>
      <c r="B165" s="17"/>
      <c r="C165" s="17"/>
      <c r="D165" s="17"/>
      <c r="E165" s="17"/>
      <c r="F165" s="17"/>
      <c r="G165" s="17"/>
      <c r="H165" s="17"/>
      <c r="I165" s="17"/>
      <c r="J165" s="17"/>
      <c r="K165" s="17" t="s">
        <v>227</v>
      </c>
      <c r="L165" s="97"/>
      <c r="M165" s="102"/>
      <c r="N165" s="102"/>
      <c r="O165" s="43"/>
      <c r="P165" s="103"/>
      <c r="Q165" s="17"/>
      <c r="R165" s="17"/>
      <c r="S165" s="119"/>
      <c r="T165" s="119" t="s">
        <v>334</v>
      </c>
      <c r="U165" s="119"/>
    </row>
    <row r="166" spans="1:21" ht="13.5">
      <c r="A166" s="17"/>
      <c r="B166" s="17"/>
      <c r="C166" s="17" t="s">
        <v>348</v>
      </c>
      <c r="D166" s="17"/>
      <c r="E166" s="17"/>
      <c r="F166" s="17"/>
      <c r="G166" s="17"/>
      <c r="H166" s="17"/>
      <c r="I166" s="17"/>
      <c r="J166" s="17"/>
      <c r="K166" s="17"/>
      <c r="L166" s="17"/>
      <c r="M166" s="17"/>
      <c r="N166" s="17"/>
      <c r="O166" s="17"/>
      <c r="P166" s="17"/>
      <c r="Q166" s="17"/>
      <c r="R166" s="17"/>
      <c r="S166" s="119"/>
      <c r="T166" s="119"/>
      <c r="U166" s="119"/>
    </row>
    <row r="167" spans="1:21">
      <c r="A167" s="17"/>
      <c r="B167" s="17"/>
      <c r="C167" s="17" t="s">
        <v>349</v>
      </c>
      <c r="D167" s="17"/>
      <c r="E167" s="17"/>
      <c r="F167" s="17"/>
      <c r="G167" s="17"/>
      <c r="H167" s="17"/>
      <c r="I167" s="17"/>
      <c r="J167" s="17"/>
      <c r="K167" s="17"/>
      <c r="L167" s="17"/>
      <c r="M167" s="17"/>
      <c r="N167" s="17"/>
      <c r="O167" s="17"/>
      <c r="P167" s="17"/>
      <c r="Q167" s="17"/>
      <c r="R167" s="17"/>
      <c r="S167" s="119"/>
      <c r="T167" s="119"/>
      <c r="U167" s="119"/>
    </row>
    <row r="168" spans="1:21">
      <c r="A168" s="17"/>
      <c r="B168" s="17"/>
      <c r="C168" s="17"/>
      <c r="D168" s="17"/>
      <c r="E168" s="17"/>
      <c r="F168" s="17"/>
      <c r="G168" s="17"/>
      <c r="H168" s="17"/>
      <c r="I168" s="17"/>
      <c r="J168" s="17"/>
      <c r="K168" s="17"/>
      <c r="L168" s="17"/>
      <c r="M168" s="17"/>
      <c r="N168" s="17"/>
      <c r="O168" s="17"/>
      <c r="P168" s="17"/>
      <c r="Q168" s="17"/>
      <c r="R168" s="17"/>
      <c r="S168" s="119"/>
      <c r="T168" s="119"/>
      <c r="U168" s="119"/>
    </row>
    <row r="169" spans="1:21">
      <c r="A169" s="17"/>
      <c r="B169" s="17" t="s">
        <v>29</v>
      </c>
      <c r="C169" s="17"/>
      <c r="D169" s="17"/>
      <c r="E169" s="17"/>
      <c r="F169" s="17"/>
      <c r="G169" s="17"/>
      <c r="H169" s="17"/>
      <c r="I169" s="17"/>
      <c r="J169" s="17"/>
      <c r="K169" s="17"/>
      <c r="L169" s="17"/>
      <c r="M169" s="17"/>
      <c r="N169" s="17"/>
      <c r="O169" s="17"/>
      <c r="P169" s="17"/>
      <c r="Q169" s="17"/>
      <c r="R169" s="17"/>
      <c r="S169" s="119"/>
      <c r="T169" s="119"/>
      <c r="U169" s="119"/>
    </row>
    <row r="170" spans="1:21">
      <c r="A170" s="17"/>
      <c r="B170" s="17" t="s">
        <v>97</v>
      </c>
      <c r="C170" s="17"/>
      <c r="D170" s="17"/>
      <c r="E170" s="17"/>
      <c r="F170" s="17"/>
      <c r="G170" s="17"/>
      <c r="H170" s="17"/>
      <c r="I170" s="17"/>
      <c r="J170" s="17"/>
      <c r="K170" s="17"/>
      <c r="L170" s="17"/>
      <c r="M170" s="17"/>
      <c r="N170" s="17"/>
      <c r="O170" s="17"/>
      <c r="P170" s="17"/>
      <c r="Q170" s="17"/>
      <c r="R170" s="17"/>
      <c r="S170" s="119"/>
      <c r="T170" s="119"/>
      <c r="U170" s="119"/>
    </row>
    <row r="171" spans="1:21">
      <c r="A171" s="17"/>
      <c r="B171" s="17" t="s">
        <v>98</v>
      </c>
      <c r="C171" s="17"/>
      <c r="D171" s="17"/>
      <c r="E171" s="17"/>
      <c r="F171" s="17"/>
      <c r="G171" s="17"/>
      <c r="H171" s="17"/>
      <c r="I171" s="17"/>
      <c r="J171" s="17"/>
      <c r="K171" s="17"/>
      <c r="L171" s="17"/>
      <c r="M171" s="17"/>
      <c r="N171" s="17"/>
      <c r="O171" s="17"/>
      <c r="P171" s="17"/>
      <c r="Q171" s="17"/>
      <c r="R171" s="17"/>
      <c r="S171" s="119"/>
      <c r="T171" s="119"/>
      <c r="U171" s="119"/>
    </row>
    <row r="172" spans="1:21">
      <c r="A172" s="17"/>
      <c r="B172" s="17" t="s">
        <v>350</v>
      </c>
      <c r="C172" s="17"/>
      <c r="D172" s="17"/>
      <c r="E172" s="17"/>
      <c r="F172" s="17"/>
      <c r="G172" s="17"/>
      <c r="H172" s="17"/>
      <c r="I172" s="17"/>
      <c r="J172" s="17"/>
      <c r="K172" s="17"/>
      <c r="L172" s="17"/>
      <c r="M172" s="17"/>
      <c r="N172" s="17"/>
      <c r="O172" s="17"/>
      <c r="P172" s="17"/>
      <c r="Q172" s="17"/>
      <c r="R172" s="17"/>
      <c r="S172" s="119"/>
      <c r="T172" s="119"/>
      <c r="U172" s="119"/>
    </row>
    <row r="173" spans="1:21">
      <c r="A173" s="17"/>
      <c r="B173" s="17"/>
      <c r="C173" s="17"/>
      <c r="D173" s="17"/>
      <c r="E173" s="17"/>
      <c r="F173" s="17"/>
      <c r="G173" s="17"/>
      <c r="H173" s="17"/>
      <c r="I173" s="17"/>
      <c r="J173" s="17"/>
      <c r="K173" s="17"/>
      <c r="L173" s="17"/>
      <c r="M173" s="17"/>
      <c r="N173" s="17"/>
      <c r="O173" s="17"/>
      <c r="P173" s="17"/>
      <c r="Q173" s="17"/>
      <c r="R173" s="17"/>
      <c r="S173" s="119"/>
      <c r="T173" s="119"/>
      <c r="U173" s="119"/>
    </row>
  </sheetData>
  <sheetProtection algorithmName="SHA-512" hashValue="XGQ+ewIqRuZU/5Z3IFoXulXlG/pRBzZ0IAhz3bTAmupq9/pB0Lf63AN4qcOpvZ24Nq5yuPyr4xza+4fnBt2C5w==" saltValue="TNtpCYaY9ZTMi8BbxVzZCA==" spinCount="100000" sheet="1" objects="1" scenarios="1" selectLockedCells="1"/>
  <dataConsolidate/>
  <mergeCells count="7">
    <mergeCell ref="C125:C126"/>
    <mergeCell ref="G120:I120"/>
    <mergeCell ref="G22:I22"/>
    <mergeCell ref="C25:C27"/>
    <mergeCell ref="G49:I49"/>
    <mergeCell ref="C53:C54"/>
    <mergeCell ref="C60:C61"/>
  </mergeCells>
  <phoneticPr fontId="1"/>
  <conditionalFormatting sqref="E23">
    <cfRule type="cellIs" dxfId="29" priority="12" operator="notBetween">
      <formula>7</formula>
      <formula>76</formula>
    </cfRule>
  </conditionalFormatting>
  <conditionalFormatting sqref="E24">
    <cfRule type="cellIs" dxfId="28" priority="11" operator="notBetween">
      <formula>1</formula>
      <formula>$E$23*0.97</formula>
    </cfRule>
  </conditionalFormatting>
  <conditionalFormatting sqref="E25">
    <cfRule type="expression" dxfId="27" priority="198">
      <formula>OR(E39&lt;1,E39&gt;E23*0.97)</formula>
    </cfRule>
  </conditionalFormatting>
  <conditionalFormatting sqref="E26">
    <cfRule type="expression" dxfId="26" priority="10">
      <formula>OR(E39&lt;1,E39&gt;E23*0.97)</formula>
    </cfRule>
  </conditionalFormatting>
  <conditionalFormatting sqref="E27">
    <cfRule type="expression" dxfId="25" priority="199">
      <formula>OR(E39&lt;1,E39&gt;E23*0.97)</formula>
    </cfRule>
  </conditionalFormatting>
  <conditionalFormatting sqref="E28">
    <cfRule type="expression" dxfId="24" priority="125">
      <formula>OR(E39&lt;1,E39&gt;E23*0.97)</formula>
    </cfRule>
  </conditionalFormatting>
  <conditionalFormatting sqref="E39">
    <cfRule type="expression" dxfId="23" priority="96">
      <formula>OR(E39&lt;1,E39&gt;E23*0.97)</formula>
    </cfRule>
  </conditionalFormatting>
  <conditionalFormatting sqref="E50 E53:E54">
    <cfRule type="expression" dxfId="22" priority="188">
      <formula>$E$97&gt;=$E$63</formula>
    </cfRule>
  </conditionalFormatting>
  <conditionalFormatting sqref="E56">
    <cfRule type="expression" dxfId="21" priority="207">
      <formula>OR($E$56&gt;$H$56,$E$97&gt;=$E$63)</formula>
    </cfRule>
  </conditionalFormatting>
  <conditionalFormatting sqref="E57">
    <cfRule type="cellIs" dxfId="20" priority="46" operator="greaterThan">
      <formula>5</formula>
    </cfRule>
  </conditionalFormatting>
  <conditionalFormatting sqref="E97">
    <cfRule type="cellIs" dxfId="19" priority="38" operator="greaterThan">
      <formula>$E$63</formula>
    </cfRule>
  </conditionalFormatting>
  <conditionalFormatting sqref="E121">
    <cfRule type="cellIs" dxfId="18" priority="18" operator="notBetween">
      <formula>$E$125</formula>
      <formula>$E$126</formula>
    </cfRule>
  </conditionalFormatting>
  <conditionalFormatting sqref="E122">
    <cfRule type="cellIs" dxfId="17" priority="7" operator="notBetween">
      <formula>$E$128</formula>
      <formula>$E$130</formula>
    </cfRule>
  </conditionalFormatting>
  <conditionalFormatting sqref="E132">
    <cfRule type="cellIs" dxfId="16" priority="17" operator="notBetween">
      <formula>$E$125</formula>
      <formula>$E$126</formula>
    </cfRule>
  </conditionalFormatting>
  <conditionalFormatting sqref="E143">
    <cfRule type="cellIs" dxfId="15" priority="28" operator="notBetween">
      <formula>E60/50</formula>
      <formula>E60/10</formula>
    </cfRule>
  </conditionalFormatting>
  <conditionalFormatting sqref="E144">
    <cfRule type="expression" dxfId="14" priority="27">
      <formula>$E$144&gt;=E$143/9</formula>
    </cfRule>
  </conditionalFormatting>
  <conditionalFormatting sqref="E156">
    <cfRule type="expression" dxfId="13" priority="21">
      <formula>OR($E$143&lt;(#REF!/50*1000), $E$143&gt;(#REF!/10*1000))</formula>
    </cfRule>
  </conditionalFormatting>
  <conditionalFormatting sqref="E163">
    <cfRule type="expression" dxfId="12" priority="20">
      <formula>OR($E$143&lt;(#REF!/50*1000), $E$143&gt;(#REF!/10*1000))</formula>
    </cfRule>
  </conditionalFormatting>
  <conditionalFormatting sqref="H111">
    <cfRule type="cellIs" dxfId="11" priority="5" operator="greaterThan">
      <formula>$E$111</formula>
    </cfRule>
  </conditionalFormatting>
  <conditionalFormatting sqref="N39 N97">
    <cfRule type="cellIs" dxfId="10" priority="55" operator="equal">
      <formula>"NG"</formula>
    </cfRule>
  </conditionalFormatting>
  <conditionalFormatting sqref="N111">
    <cfRule type="cellIs" dxfId="9" priority="6" operator="equal">
      <formula>"NG"</formula>
    </cfRule>
  </conditionalFormatting>
  <conditionalFormatting sqref="N131">
    <cfRule type="cellIs" dxfId="8" priority="16" operator="equal">
      <formula>"NG"</formula>
    </cfRule>
  </conditionalFormatting>
  <conditionalFormatting sqref="N156">
    <cfRule type="expression" dxfId="7" priority="24">
      <formula>ABS($P$156)&gt;5%</formula>
    </cfRule>
  </conditionalFormatting>
  <conditionalFormatting sqref="N157">
    <cfRule type="expression" dxfId="6" priority="2">
      <formula>ABS($P$157)&gt;5%</formula>
    </cfRule>
  </conditionalFormatting>
  <conditionalFormatting sqref="N163">
    <cfRule type="expression" dxfId="5" priority="25">
      <formula>ABS($P$163)&gt;5%</formula>
    </cfRule>
  </conditionalFormatting>
  <conditionalFormatting sqref="N164">
    <cfRule type="expression" dxfId="4" priority="1">
      <formula>ABS($P$164)&gt;5%</formula>
    </cfRule>
  </conditionalFormatting>
  <dataValidations xWindow="372" yWindow="461" count="21">
    <dataValidation operator="equal" allowBlank="1" showInputMessage="1" showErrorMessage="1" error="Internal Value" sqref="E150 E34 E62:E63" xr:uid="{00000000-0002-0000-0200-000000000000}"/>
    <dataValidation operator="equal" allowBlank="1" showInputMessage="1" showErrorMessage="1" sqref="E149" xr:uid="{00000000-0002-0000-0200-000001000000}"/>
    <dataValidation allowBlank="1" showInputMessage="1" showErrorMessage="1" prompt="Input the value of load current during soft start in A" sqref="E129" xr:uid="{00000000-0002-0000-0200-000002000000}"/>
    <dataValidation allowBlank="1" showInputMessage="1" showErrorMessage="1" prompt="Input the value of capacitor equivalent series resistance in mΩ" sqref="E55" xr:uid="{00000000-0002-0000-0200-000003000000}"/>
    <dataValidation type="decimal" operator="equal" allowBlank="1" showInputMessage="1" showErrorMessage="1" error="Internal Value_x000a_" sqref="E60" xr:uid="{00000000-0002-0000-0200-000004000000}">
      <formula1>200</formula1>
    </dataValidation>
    <dataValidation type="decimal" errorStyle="warning" allowBlank="1" showInputMessage="1" showErrorMessage="1" error="Value of VIN is out of range. VIN voltage should be from 7V to 76V." prompt="Input VIN value from 7V to 76V" sqref="E23" xr:uid="{00000000-0002-0000-0200-000005000000}">
      <formula1>7</formula1>
      <formula2>76</formula2>
    </dataValidation>
    <dataValidation operator="equal" allowBlank="1" showInputMessage="1" showErrorMessage="1" error="Internal Value_x000a_" sqref="E61 E125:E126" xr:uid="{00000000-0002-0000-0200-000006000000}"/>
    <dataValidation allowBlank="1" showInputMessage="1" showErrorMessage="1" error="Internal Value" sqref="E37 E32" xr:uid="{00000000-0002-0000-0200-000007000000}"/>
    <dataValidation type="decimal" errorStyle="warning" operator="lessThanOrEqual" allowBlank="1" showInputMessage="1" showErrorMessage="1" error="IOUTMAX is out of range. (up to 5A only)" prompt="Input IOUTMAX in A" sqref="E57" xr:uid="{00000000-0002-0000-0200-000008000000}">
      <formula1>5</formula1>
    </dataValidation>
    <dataValidation allowBlank="1" showInputMessage="1" prompt="Input C2 in pF" sqref="N163" xr:uid="{00000000-0002-0000-0200-000009000000}"/>
    <dataValidation type="custom" errorStyle="warning" allowBlank="1" showInputMessage="1" showErrorMessage="1" error="IL_START is higher than OCPmin. _x000a_Adjust L, COUT, and/or CLOAD." prompt="Input the value of L in µH" sqref="E50" xr:uid="{00000000-0002-0000-0200-00000A000000}">
      <formula1>$E$97&lt;$E$63</formula1>
    </dataValidation>
    <dataValidation type="custom" errorStyle="warning" allowBlank="1" showInputMessage="1" showErrorMessage="1" error="IL_START is higher than OCPmin. _x000a_Adjust L, COUT, and/or CLOAD." prompt="Input the value of COUT in µF" sqref="E53:E54" xr:uid="{00000000-0002-0000-0200-00000B000000}">
      <formula1>$E$97&lt;$E$63</formula1>
    </dataValidation>
    <dataValidation type="custom" errorStyle="warning" allowBlank="1" showInputMessage="1" showErrorMessage="1" error="FCRS is out of Range. (1/10 to 1/50 of FOSC)" prompt="Input the value of FCRS in kHz" sqref="E143" xr:uid="{00000000-0002-0000-0200-00000C000000}">
      <formula1>AND(E143&gt;=(E60/50),E143&lt;=(E60/10))</formula1>
    </dataValidation>
    <dataValidation type="decimal" errorStyle="warning" operator="lessThan" allowBlank="1" showInputMessage="1" showErrorMessage="1" error="For stable operation, set Fz to smaller than 1/9 of FCRS" prompt="Input the value of Fz in kHz" sqref="E144" xr:uid="{00000000-0002-0000-0200-00000D000000}">
      <formula1>E143/9</formula1>
    </dataValidation>
    <dataValidation type="decimal" errorStyle="warning" allowBlank="1" showInputMessage="1" showErrorMessage="1" error="Value of VOUT (target) is out of range. VOUT target voltage should be from 1.0V to 0.97xVIN V." prompt="Input VOUT target value from 1.0V to 0.97xVIN V." sqref="E24" xr:uid="{00000000-0002-0000-0200-00000E000000}">
      <formula1>1</formula1>
      <formula2>$E$23*0.97</formula2>
    </dataValidation>
    <dataValidation type="custom" errorStyle="warning" allowBlank="1" showInputMessage="1" showErrorMessage="1" error="Combination of R6, R2 and R3 is not valid. VOUT is out of range." prompt="Input the value of R6 in Ω" sqref="E25" xr:uid="{00000000-0002-0000-0200-00000F000000}">
      <formula1>AND(E39&gt;=1,E39&lt;=E23*0.97)</formula1>
    </dataValidation>
    <dataValidation type="custom" errorStyle="warning" allowBlank="1" showInputMessage="1" showErrorMessage="1" error="Combination of R6, R2 and R3 is not valid. VOUT is out of range." prompt="Input the value of R3 in kΩ" sqref="E27" xr:uid="{00000000-0002-0000-0200-000010000000}">
      <formula1>AND(E39&gt;=1,E39&lt;=E23*0.97)</formula1>
    </dataValidation>
    <dataValidation type="custom" errorStyle="warning" operator="greaterThan" allowBlank="1" showInputMessage="1" showErrorMessage="1" error="Combination of R6, R2 and R3 is not valid. VOUT is out of range." prompt="Input the value of R2 in kΩ" sqref="E26" xr:uid="{00000000-0002-0000-0200-000011000000}">
      <formula1>AND(E39&gt;=1,E39&lt;=E23*0.97)</formula1>
    </dataValidation>
    <dataValidation type="decimal" errorStyle="warning" allowBlank="1" showInputMessage="1" showErrorMessage="1" error="RRT (R4) is not valid. fRTOSC is out of range." prompt="Input the value of RRT (R4) in kΩ" sqref="E122" xr:uid="{00000000-0002-0000-0200-000012000000}">
      <formula1>E128</formula1>
      <formula2>E130</formula2>
    </dataValidation>
    <dataValidation allowBlank="1" showInputMessage="1" prompt="Input R1 in kΩ" sqref="N156" xr:uid="{00000000-0002-0000-0200-000013000000}"/>
    <dataValidation type="custom" errorStyle="warning" operator="lessThan" allowBlank="1" showInputMessage="1" showErrorMessage="1" error="CLOAD should be less than CLOAD(max)." prompt="Input the value of Load Capacitance in µF, maximum value is CLOAD(max)" sqref="E56" xr:uid="{00000000-0002-0000-0200-000014000000}">
      <formula1>AND($E$56&lt;=$H$56, $E$97&lt;$E$63)</formula1>
    </dataValidation>
  </dataValidations>
  <pageMargins left="0.7" right="0.7" top="0.75" bottom="0.75" header="0.3" footer="0.3"/>
  <pageSetup paperSize="9" scale="37" fitToHeight="0" orientation="portrait" r:id="rId1"/>
  <rowBreaks count="1" manualBreakCount="1">
    <brk id="207" max="1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W56"/>
  <sheetViews>
    <sheetView showGridLines="0" tabSelected="1" topLeftCell="A5" zoomScaleNormal="100" zoomScaleSheetLayoutView="100" workbookViewId="0"/>
  </sheetViews>
  <sheetFormatPr baseColWidth="10" defaultColWidth="9" defaultRowHeight="12"/>
  <cols>
    <col min="1" max="1" width="9" style="64"/>
    <col min="2" max="2" width="14.28515625" style="64" customWidth="1"/>
    <col min="3" max="3" width="9" style="64"/>
    <col min="4" max="4" width="29.5703125" style="64" customWidth="1"/>
    <col min="5" max="5" width="11.28515625" style="64" bestFit="1" customWidth="1"/>
    <col min="6" max="6" width="11.140625" style="64" customWidth="1"/>
    <col min="7" max="7" width="9" style="64" customWidth="1"/>
    <col min="8" max="10" width="9" style="64"/>
    <col min="11" max="11" width="12.5703125" style="64" customWidth="1"/>
    <col min="12" max="16384" width="9" style="64"/>
  </cols>
  <sheetData>
    <row r="1" spans="1:23" ht="25.5">
      <c r="A1" s="16" t="s">
        <v>23</v>
      </c>
      <c r="B1" s="16"/>
      <c r="C1" s="16" t="str">
        <f>'How to use'!A1</f>
        <v>BD9G500EFJ-LA Calculation Sheet</v>
      </c>
      <c r="D1" s="17"/>
      <c r="E1" s="17"/>
      <c r="F1" s="17"/>
      <c r="G1" s="17"/>
      <c r="H1" s="17"/>
      <c r="I1" s="17"/>
      <c r="J1" s="17"/>
      <c r="K1" s="17"/>
      <c r="L1" s="17"/>
      <c r="M1" s="17"/>
      <c r="N1" s="17"/>
      <c r="O1" s="17"/>
      <c r="P1" s="17"/>
      <c r="Q1" s="17"/>
      <c r="R1" s="17"/>
      <c r="S1" s="17" t="str">
        <f>'How to use'!M1</f>
        <v>REV.001 20210827</v>
      </c>
      <c r="T1" s="17"/>
      <c r="U1" s="17"/>
      <c r="V1" s="17"/>
      <c r="W1" s="17"/>
    </row>
    <row r="2" spans="1:23">
      <c r="A2" s="17"/>
      <c r="B2" s="17"/>
      <c r="C2" s="17"/>
      <c r="D2" s="17"/>
      <c r="E2" s="17"/>
      <c r="F2" s="17"/>
      <c r="G2" s="17"/>
      <c r="H2" s="17"/>
      <c r="I2" s="17"/>
      <c r="J2" s="17"/>
      <c r="K2" s="17"/>
      <c r="L2" s="17"/>
      <c r="M2" s="17"/>
      <c r="N2" s="17"/>
      <c r="O2" s="17"/>
      <c r="P2" s="17"/>
      <c r="Q2" s="17"/>
      <c r="R2" s="17"/>
      <c r="S2" s="17" t="str">
        <f>'How to use'!M2</f>
        <v>©2021 ROHM Co., LTD.</v>
      </c>
      <c r="T2" s="17"/>
      <c r="U2" s="17"/>
      <c r="V2" s="17"/>
      <c r="W2" s="17"/>
    </row>
    <row r="3" spans="1:23">
      <c r="A3" s="17"/>
      <c r="B3" s="18" t="s">
        <v>39</v>
      </c>
      <c r="C3" s="17"/>
      <c r="D3" s="17"/>
      <c r="E3" s="17"/>
      <c r="F3" s="17"/>
      <c r="G3" s="17"/>
      <c r="H3" s="17"/>
      <c r="I3" s="17"/>
      <c r="J3" s="17"/>
      <c r="K3" s="17"/>
      <c r="L3" s="17"/>
      <c r="M3" s="17"/>
      <c r="N3" s="17"/>
      <c r="O3" s="17"/>
      <c r="P3" s="17"/>
      <c r="Q3" s="17"/>
      <c r="R3" s="17"/>
      <c r="S3" s="17"/>
      <c r="T3" s="17"/>
      <c r="U3" s="17"/>
      <c r="V3" s="17"/>
      <c r="W3" s="17"/>
    </row>
    <row r="4" spans="1:23">
      <c r="A4" s="17"/>
      <c r="B4" s="18" t="s">
        <v>40</v>
      </c>
      <c r="C4" s="17"/>
      <c r="D4" s="17"/>
      <c r="E4" s="17"/>
      <c r="F4" s="17"/>
      <c r="G4" s="17"/>
      <c r="H4" s="17"/>
      <c r="I4" s="17"/>
      <c r="J4" s="17"/>
      <c r="K4" s="17"/>
      <c r="L4" s="17"/>
      <c r="M4" s="17"/>
      <c r="N4" s="17"/>
      <c r="O4" s="17"/>
      <c r="P4" s="17"/>
      <c r="Q4" s="17"/>
      <c r="R4" s="17"/>
      <c r="S4" s="17"/>
      <c r="T4" s="17"/>
      <c r="U4" s="17"/>
      <c r="V4" s="17"/>
      <c r="W4" s="17"/>
    </row>
    <row r="5" spans="1:23">
      <c r="A5" s="17"/>
      <c r="B5" s="18" t="s">
        <v>41</v>
      </c>
      <c r="C5" s="17"/>
      <c r="D5" s="17"/>
      <c r="E5" s="17"/>
      <c r="F5" s="17"/>
      <c r="G5" s="17"/>
      <c r="H5" s="17"/>
      <c r="I5" s="17"/>
      <c r="J5" s="17"/>
      <c r="K5" s="17"/>
      <c r="L5" s="17"/>
      <c r="M5" s="17"/>
      <c r="N5" s="17"/>
      <c r="O5" s="17"/>
      <c r="P5" s="17"/>
      <c r="Q5" s="17"/>
      <c r="R5" s="17"/>
      <c r="S5" s="17"/>
      <c r="T5" s="17"/>
      <c r="U5" s="17"/>
      <c r="V5" s="17"/>
      <c r="W5" s="17"/>
    </row>
    <row r="6" spans="1:23">
      <c r="A6" s="17"/>
      <c r="B6" s="18"/>
      <c r="C6" s="17"/>
      <c r="D6" s="17"/>
      <c r="E6" s="17"/>
      <c r="F6" s="17"/>
      <c r="G6" s="17"/>
      <c r="H6" s="17"/>
      <c r="I6" s="17"/>
      <c r="J6" s="17"/>
      <c r="K6" s="17"/>
      <c r="L6" s="17"/>
      <c r="M6" s="17"/>
      <c r="N6" s="17"/>
      <c r="O6" s="17"/>
      <c r="P6" s="17"/>
      <c r="Q6" s="17"/>
      <c r="R6" s="17"/>
      <c r="S6" s="17"/>
      <c r="T6" s="17"/>
      <c r="U6" s="17"/>
      <c r="V6" s="17"/>
      <c r="W6" s="17"/>
    </row>
    <row r="7" spans="1:23">
      <c r="A7" s="17"/>
      <c r="B7" s="18" t="s">
        <v>42</v>
      </c>
      <c r="C7" s="17"/>
      <c r="D7" s="17"/>
      <c r="E7" s="17"/>
      <c r="F7" s="17"/>
      <c r="G7" s="17"/>
      <c r="H7" s="17"/>
      <c r="I7" s="17"/>
      <c r="J7" s="17"/>
      <c r="K7" s="17"/>
      <c r="L7" s="17"/>
      <c r="M7" s="17"/>
      <c r="N7" s="17"/>
      <c r="O7" s="17"/>
      <c r="P7" s="17"/>
      <c r="Q7" s="17"/>
      <c r="R7" s="17"/>
      <c r="S7" s="17"/>
      <c r="T7" s="17"/>
      <c r="U7" s="17"/>
      <c r="V7" s="17"/>
      <c r="W7" s="17"/>
    </row>
    <row r="8" spans="1:23">
      <c r="A8" s="17"/>
      <c r="B8" s="18" t="s">
        <v>43</v>
      </c>
      <c r="C8" s="17"/>
      <c r="D8" s="17"/>
      <c r="E8" s="17"/>
      <c r="F8" s="17"/>
      <c r="G8" s="17"/>
      <c r="H8" s="17"/>
      <c r="I8" s="17"/>
      <c r="J8" s="17"/>
      <c r="K8" s="17"/>
      <c r="L8" s="17"/>
      <c r="M8" s="17"/>
      <c r="N8" s="17"/>
      <c r="O8" s="17"/>
      <c r="P8" s="17"/>
      <c r="Q8" s="17"/>
      <c r="R8" s="17"/>
      <c r="S8" s="17"/>
      <c r="T8" s="17"/>
      <c r="U8" s="17"/>
      <c r="V8" s="17"/>
      <c r="W8" s="17"/>
    </row>
    <row r="9" spans="1:23">
      <c r="A9" s="17"/>
      <c r="B9" s="19" t="s">
        <v>44</v>
      </c>
      <c r="C9" s="17"/>
      <c r="D9" s="17"/>
      <c r="E9" s="17"/>
      <c r="F9" s="17"/>
      <c r="G9" s="17"/>
      <c r="H9" s="17"/>
      <c r="I9" s="17"/>
      <c r="J9" s="17"/>
      <c r="K9" s="17"/>
      <c r="L9" s="17"/>
      <c r="M9" s="17"/>
      <c r="N9" s="17"/>
      <c r="O9" s="17"/>
      <c r="P9" s="17"/>
      <c r="Q9" s="17"/>
      <c r="R9" s="17"/>
      <c r="S9" s="17"/>
      <c r="T9" s="17"/>
      <c r="U9" s="17"/>
      <c r="V9" s="17"/>
      <c r="W9" s="17"/>
    </row>
    <row r="10" spans="1:23">
      <c r="A10" s="17"/>
      <c r="B10" s="18"/>
      <c r="C10" s="17"/>
      <c r="D10" s="17"/>
      <c r="E10" s="17"/>
      <c r="F10" s="17"/>
      <c r="G10" s="17"/>
      <c r="H10" s="17"/>
      <c r="I10" s="17"/>
      <c r="J10" s="17"/>
      <c r="K10" s="17"/>
      <c r="L10" s="17"/>
      <c r="M10" s="17"/>
      <c r="N10" s="17"/>
      <c r="O10" s="17"/>
      <c r="P10" s="17"/>
      <c r="Q10" s="17"/>
      <c r="R10" s="17"/>
      <c r="S10" s="17"/>
      <c r="T10" s="17"/>
      <c r="U10" s="17"/>
      <c r="V10" s="17"/>
      <c r="W10" s="17"/>
    </row>
    <row r="11" spans="1:23">
      <c r="A11" s="17"/>
      <c r="B11" s="17"/>
      <c r="C11" s="17"/>
      <c r="D11" s="17"/>
      <c r="E11" s="65"/>
      <c r="F11" s="17" t="s">
        <v>38</v>
      </c>
      <c r="G11" s="17"/>
      <c r="H11" s="17"/>
      <c r="I11" s="17"/>
      <c r="J11" s="17"/>
      <c r="K11" s="17"/>
      <c r="L11" s="17"/>
      <c r="M11" s="17"/>
      <c r="N11" s="17"/>
      <c r="O11" s="17"/>
      <c r="P11" s="17"/>
      <c r="Q11" s="17"/>
      <c r="R11" s="17"/>
      <c r="S11" s="17"/>
      <c r="T11" s="17"/>
      <c r="U11" s="17"/>
      <c r="V11" s="17"/>
      <c r="W11" s="17"/>
    </row>
    <row r="12" spans="1:23">
      <c r="A12" s="17"/>
      <c r="B12" s="17"/>
      <c r="C12" s="17"/>
      <c r="D12" s="17"/>
      <c r="E12" s="17"/>
      <c r="F12" s="17"/>
      <c r="G12" s="17"/>
      <c r="H12" s="17"/>
      <c r="I12" s="17"/>
      <c r="J12" s="17"/>
      <c r="K12" s="17"/>
      <c r="L12" s="17"/>
      <c r="M12" s="17"/>
      <c r="N12" s="17"/>
      <c r="O12" s="17"/>
      <c r="P12" s="17"/>
      <c r="Q12" s="17"/>
      <c r="R12" s="17"/>
      <c r="S12" s="17"/>
      <c r="T12" s="17"/>
      <c r="U12" s="17"/>
      <c r="V12" s="17"/>
      <c r="W12" s="17"/>
    </row>
    <row r="13" spans="1:23">
      <c r="A13" s="17"/>
      <c r="B13" s="17" t="s">
        <v>233</v>
      </c>
      <c r="C13" s="17"/>
      <c r="D13" s="17"/>
      <c r="E13" s="17"/>
      <c r="F13" s="17"/>
      <c r="G13" s="17"/>
      <c r="H13" s="17"/>
      <c r="I13" s="17"/>
      <c r="J13" s="17"/>
      <c r="K13" s="17"/>
      <c r="L13" s="17"/>
      <c r="M13" s="17"/>
      <c r="N13" s="17"/>
      <c r="O13" s="17"/>
      <c r="P13" s="17"/>
      <c r="Q13" s="17"/>
      <c r="R13" s="17"/>
      <c r="S13" s="17"/>
      <c r="T13" s="17"/>
      <c r="U13" s="17"/>
      <c r="V13" s="17"/>
      <c r="W13" s="17"/>
    </row>
    <row r="14" spans="1:23">
      <c r="A14" s="17"/>
      <c r="B14" s="17"/>
      <c r="C14" s="17"/>
      <c r="D14" s="17"/>
      <c r="E14" s="17"/>
      <c r="F14" s="17"/>
      <c r="G14" s="17"/>
      <c r="H14" s="17"/>
      <c r="I14" s="17"/>
      <c r="J14" s="17"/>
      <c r="K14" s="17"/>
      <c r="L14" s="17"/>
      <c r="M14" s="17"/>
      <c r="N14" s="17"/>
      <c r="O14" s="17"/>
      <c r="P14" s="17"/>
      <c r="Q14" s="17"/>
      <c r="R14" s="17"/>
      <c r="S14" s="17"/>
      <c r="T14" s="17"/>
      <c r="U14" s="17"/>
      <c r="V14" s="17"/>
      <c r="W14" s="17"/>
    </row>
    <row r="15" spans="1:23" ht="24" customHeight="1">
      <c r="A15" s="17"/>
      <c r="B15" s="17"/>
      <c r="C15" s="133" t="s">
        <v>234</v>
      </c>
      <c r="D15" s="134"/>
      <c r="E15" s="66"/>
      <c r="F15" s="41" t="s">
        <v>235</v>
      </c>
      <c r="G15" s="66" t="s">
        <v>217</v>
      </c>
      <c r="H15" s="41" t="s">
        <v>236</v>
      </c>
      <c r="I15" s="170" t="s">
        <v>237</v>
      </c>
      <c r="J15" s="171"/>
      <c r="K15" s="172"/>
      <c r="L15" s="17"/>
      <c r="M15" s="17"/>
      <c r="N15" s="17"/>
      <c r="O15" s="17"/>
      <c r="P15" s="17"/>
      <c r="Q15" s="17"/>
      <c r="R15" s="17"/>
      <c r="S15" s="17"/>
      <c r="T15" s="17"/>
      <c r="U15" s="17"/>
      <c r="V15" s="17"/>
      <c r="W15" s="17"/>
    </row>
    <row r="16" spans="1:23">
      <c r="A16" s="17"/>
      <c r="B16" s="17"/>
      <c r="C16" s="133" t="str">
        <f>'1. Calculation sheet'!D25</f>
        <v>R6</v>
      </c>
      <c r="D16" s="134"/>
      <c r="E16" s="135"/>
      <c r="F16" s="67">
        <f>'1. Calculation sheet'!$E$25</f>
        <v>0</v>
      </c>
      <c r="G16" s="104" t="s">
        <v>332</v>
      </c>
      <c r="H16" s="58" t="s">
        <v>153</v>
      </c>
      <c r="I16" s="106"/>
      <c r="J16" s="90"/>
      <c r="K16" s="10"/>
      <c r="L16" s="17"/>
      <c r="M16" s="17"/>
      <c r="N16" s="17"/>
      <c r="O16" s="17"/>
      <c r="P16" s="17"/>
      <c r="Q16" s="17"/>
      <c r="R16" s="17"/>
      <c r="S16" s="17"/>
      <c r="T16" s="17"/>
      <c r="U16" s="17"/>
      <c r="V16" s="17"/>
      <c r="W16" s="17"/>
    </row>
    <row r="17" spans="1:23">
      <c r="A17" s="17"/>
      <c r="B17" s="17"/>
      <c r="C17" s="133" t="str">
        <f>'1. Calculation sheet'!D26</f>
        <v>R2</v>
      </c>
      <c r="D17" s="134"/>
      <c r="E17" s="135"/>
      <c r="F17" s="81">
        <f>'1. Calculation sheet'!$E$26</f>
        <v>1</v>
      </c>
      <c r="G17" s="104" t="s">
        <v>295</v>
      </c>
      <c r="H17" s="58" t="s">
        <v>153</v>
      </c>
      <c r="I17" s="106"/>
      <c r="J17" s="90"/>
      <c r="K17" s="10"/>
      <c r="L17" s="17"/>
      <c r="M17" s="17"/>
      <c r="N17" s="17"/>
      <c r="O17" s="17"/>
      <c r="P17" s="17"/>
      <c r="Q17" s="17"/>
      <c r="R17" s="17"/>
      <c r="S17" s="17"/>
      <c r="T17" s="17"/>
      <c r="U17" s="17"/>
      <c r="V17" s="17"/>
      <c r="W17" s="17"/>
    </row>
    <row r="18" spans="1:23">
      <c r="A18" s="17"/>
      <c r="B18" s="17"/>
      <c r="C18" s="133" t="str">
        <f>'1. Calculation sheet'!$D$27</f>
        <v>R3</v>
      </c>
      <c r="D18" s="134"/>
      <c r="E18" s="135"/>
      <c r="F18" s="67">
        <f>'1. Calculation sheet'!$E$27</f>
        <v>39</v>
      </c>
      <c r="G18" s="104" t="s">
        <v>295</v>
      </c>
      <c r="H18" s="58" t="s">
        <v>153</v>
      </c>
      <c r="I18" s="25"/>
      <c r="J18" s="8"/>
      <c r="K18" s="7"/>
      <c r="L18" s="17"/>
      <c r="M18" s="17"/>
      <c r="N18" s="17"/>
      <c r="O18" s="17"/>
      <c r="P18" s="17"/>
      <c r="Q18" s="17"/>
      <c r="R18" s="17"/>
      <c r="S18" s="17"/>
      <c r="T18" s="17"/>
      <c r="U18" s="17"/>
      <c r="V18" s="17"/>
      <c r="W18" s="17"/>
    </row>
    <row r="19" spans="1:23">
      <c r="A19" s="17"/>
      <c r="B19" s="17"/>
      <c r="C19" s="182" t="s">
        <v>36</v>
      </c>
      <c r="D19" s="68" t="s">
        <v>30</v>
      </c>
      <c r="E19" s="135"/>
      <c r="F19" s="67">
        <f>'1. Calculation sheet'!$E$50</f>
        <v>22</v>
      </c>
      <c r="G19" s="66" t="s">
        <v>20</v>
      </c>
      <c r="H19" s="58" t="s">
        <v>153</v>
      </c>
      <c r="I19" s="57" t="str">
        <f>'1. Calculation sheet'!G50</f>
        <v>33 µH</v>
      </c>
      <c r="J19" s="76"/>
      <c r="K19" s="60"/>
      <c r="L19" s="17"/>
      <c r="M19" s="17"/>
      <c r="N19" s="17"/>
      <c r="O19" s="17"/>
      <c r="P19" s="17"/>
      <c r="Q19" s="17"/>
      <c r="R19" s="17"/>
      <c r="S19" s="17"/>
      <c r="T19" s="17"/>
      <c r="U19" s="17"/>
      <c r="V19" s="17"/>
      <c r="W19" s="17"/>
    </row>
    <row r="20" spans="1:23" ht="13.5">
      <c r="A20" s="17"/>
      <c r="B20" s="17"/>
      <c r="C20" s="182"/>
      <c r="D20" s="133" t="s">
        <v>94</v>
      </c>
      <c r="E20" s="135"/>
      <c r="F20" s="46">
        <f>'1. Calculation sheet'!$E$51</f>
        <v>5.7575757575757578</v>
      </c>
      <c r="G20" s="66" t="s">
        <v>11</v>
      </c>
      <c r="H20" s="58" t="s">
        <v>153</v>
      </c>
      <c r="I20" s="25"/>
      <c r="J20" s="8"/>
      <c r="K20" s="7"/>
      <c r="L20" s="17"/>
      <c r="M20" s="17"/>
      <c r="N20" s="17"/>
      <c r="O20" s="17"/>
      <c r="P20" s="17"/>
      <c r="Q20" s="17"/>
      <c r="R20" s="17"/>
      <c r="S20" s="17"/>
      <c r="T20" s="17"/>
      <c r="U20" s="17"/>
      <c r="V20" s="17"/>
      <c r="W20" s="17"/>
    </row>
    <row r="21" spans="1:23">
      <c r="A21" s="17"/>
      <c r="B21" s="17"/>
      <c r="C21" s="175" t="s">
        <v>35</v>
      </c>
      <c r="D21" s="68" t="str">
        <f>'1. Calculation sheet'!D53</f>
        <v>C6</v>
      </c>
      <c r="E21" s="135"/>
      <c r="F21" s="46">
        <f>'1. Calculation sheet'!$E$53</f>
        <v>10</v>
      </c>
      <c r="G21" s="15" t="s">
        <v>14</v>
      </c>
      <c r="H21" s="58" t="s">
        <v>153</v>
      </c>
      <c r="I21" s="25"/>
      <c r="J21" s="8"/>
      <c r="K21" s="7"/>
      <c r="L21" s="17"/>
      <c r="M21" s="17"/>
      <c r="N21" s="17"/>
      <c r="O21" s="17"/>
      <c r="P21" s="17"/>
      <c r="Q21" s="17"/>
      <c r="R21" s="17"/>
      <c r="S21" s="17"/>
      <c r="T21" s="17"/>
      <c r="U21" s="17"/>
      <c r="V21" s="17"/>
      <c r="W21" s="17"/>
    </row>
    <row r="22" spans="1:23">
      <c r="A22" s="17"/>
      <c r="B22" s="17"/>
      <c r="C22" s="183"/>
      <c r="D22" s="68" t="str">
        <f>'1. Calculation sheet'!D54</f>
        <v>C7</v>
      </c>
      <c r="E22" s="135"/>
      <c r="F22" s="46">
        <f>'1. Calculation sheet'!$E$54</f>
        <v>120</v>
      </c>
      <c r="G22" s="15" t="s">
        <v>14</v>
      </c>
      <c r="H22" s="58" t="s">
        <v>153</v>
      </c>
      <c r="I22" s="25"/>
      <c r="J22" s="8"/>
      <c r="K22" s="7"/>
      <c r="L22" s="17"/>
      <c r="M22" s="17"/>
      <c r="N22" s="17"/>
      <c r="O22" s="17"/>
      <c r="P22" s="17"/>
      <c r="Q22" s="17"/>
      <c r="R22" s="17"/>
      <c r="S22" s="17"/>
      <c r="T22" s="17"/>
      <c r="U22" s="17"/>
      <c r="V22" s="17"/>
      <c r="W22" s="17"/>
    </row>
    <row r="23" spans="1:23" ht="13.5">
      <c r="A23" s="17"/>
      <c r="B23" s="17"/>
      <c r="C23" s="184"/>
      <c r="D23" s="68" t="s">
        <v>95</v>
      </c>
      <c r="E23" s="135"/>
      <c r="F23" s="67">
        <f>'1. Calculation sheet'!$E$55</f>
        <v>28</v>
      </c>
      <c r="G23" s="66" t="s">
        <v>284</v>
      </c>
      <c r="H23" s="58" t="s">
        <v>153</v>
      </c>
      <c r="I23" s="25"/>
      <c r="J23" s="8"/>
      <c r="K23" s="7"/>
      <c r="L23" s="17"/>
      <c r="M23" s="17"/>
      <c r="N23" s="17"/>
      <c r="O23" s="17"/>
      <c r="P23" s="17"/>
      <c r="Q23" s="17"/>
      <c r="R23" s="17"/>
      <c r="S23" s="17"/>
      <c r="T23" s="17"/>
      <c r="U23" s="17"/>
      <c r="V23" s="17"/>
      <c r="W23" s="17"/>
    </row>
    <row r="24" spans="1:23">
      <c r="A24" s="17"/>
      <c r="B24" s="17"/>
      <c r="C24" s="25" t="s">
        <v>337</v>
      </c>
      <c r="D24" s="8"/>
      <c r="E24" s="135"/>
      <c r="F24" s="67">
        <f>'1. Calculation sheet'!E122</f>
        <v>22</v>
      </c>
      <c r="G24" s="104" t="s">
        <v>295</v>
      </c>
      <c r="H24" s="58" t="s">
        <v>153</v>
      </c>
      <c r="I24" s="25" t="str">
        <f>'1. Calculation sheet'!G122</f>
        <v>47 kΩ (typ); 12,5 kΩ to 102 kΩ</v>
      </c>
      <c r="J24" s="8"/>
      <c r="K24" s="7"/>
      <c r="L24" s="17"/>
      <c r="M24" s="17"/>
      <c r="N24" s="17"/>
      <c r="O24" s="17"/>
      <c r="P24" s="17"/>
      <c r="Q24" s="17"/>
      <c r="R24" s="17"/>
      <c r="S24" s="17"/>
      <c r="T24" s="17"/>
      <c r="U24" s="17"/>
      <c r="V24" s="17"/>
      <c r="W24" s="17"/>
    </row>
    <row r="25" spans="1:23">
      <c r="A25" s="17"/>
      <c r="B25" s="17"/>
      <c r="C25" s="25" t="str">
        <f>'1. Calculation sheet'!M156</f>
        <v>R1</v>
      </c>
      <c r="D25" s="8"/>
      <c r="E25" s="135"/>
      <c r="F25" s="67">
        <f>'1. Calculation sheet'!$N$156</f>
        <v>110</v>
      </c>
      <c r="G25" s="104" t="s">
        <v>295</v>
      </c>
      <c r="H25" s="58" t="s">
        <v>153</v>
      </c>
      <c r="I25" s="25"/>
      <c r="J25" s="8"/>
      <c r="K25" s="7"/>
      <c r="L25" s="17"/>
      <c r="M25" s="17"/>
      <c r="N25" s="17"/>
      <c r="O25" s="17"/>
      <c r="P25" s="17"/>
      <c r="Q25" s="17"/>
      <c r="R25" s="17"/>
      <c r="S25" s="17"/>
      <c r="T25" s="17"/>
      <c r="U25" s="17"/>
      <c r="V25" s="17"/>
      <c r="W25" s="17"/>
    </row>
    <row r="26" spans="1:23">
      <c r="A26" s="17"/>
      <c r="B26" s="17"/>
      <c r="C26" s="25" t="str">
        <f>'1. Calculation sheet'!M163</f>
        <v>C2</v>
      </c>
      <c r="D26" s="8"/>
      <c r="E26" s="135"/>
      <c r="F26" s="69">
        <f>'1. Calculation sheet'!N163</f>
        <v>3300</v>
      </c>
      <c r="G26" s="15" t="s">
        <v>19</v>
      </c>
      <c r="H26" s="58" t="s">
        <v>153</v>
      </c>
      <c r="I26" s="118"/>
      <c r="J26" s="8"/>
      <c r="K26" s="7"/>
      <c r="L26" s="17"/>
      <c r="M26" s="17"/>
      <c r="N26" s="17"/>
      <c r="O26" s="17"/>
      <c r="P26" s="17"/>
      <c r="Q26" s="17"/>
      <c r="R26" s="17"/>
      <c r="S26" s="17"/>
      <c r="T26" s="17"/>
      <c r="U26" s="17"/>
      <c r="V26" s="17"/>
      <c r="W26" s="17"/>
    </row>
    <row r="27" spans="1:23">
      <c r="A27" s="17"/>
      <c r="B27" s="17"/>
      <c r="C27" s="25" t="s">
        <v>34</v>
      </c>
      <c r="D27" s="8"/>
      <c r="E27" s="135"/>
      <c r="F27" s="71">
        <v>15</v>
      </c>
      <c r="G27" s="15" t="s">
        <v>14</v>
      </c>
      <c r="H27" s="58" t="s">
        <v>153</v>
      </c>
      <c r="I27" s="25"/>
      <c r="J27" s="8"/>
      <c r="K27" s="7"/>
      <c r="L27" s="17"/>
      <c r="M27" s="17"/>
      <c r="N27" s="17"/>
      <c r="O27" s="17"/>
      <c r="P27" s="17"/>
      <c r="Q27" s="17"/>
      <c r="R27" s="17"/>
      <c r="S27" s="17"/>
      <c r="T27" s="17"/>
      <c r="U27" s="17"/>
      <c r="V27" s="17"/>
      <c r="W27" s="17"/>
    </row>
    <row r="28" spans="1:23">
      <c r="A28" s="17"/>
      <c r="B28" s="17"/>
      <c r="C28" s="25" t="s">
        <v>335</v>
      </c>
      <c r="D28" s="8"/>
      <c r="E28" s="135"/>
      <c r="F28" s="71">
        <v>1</v>
      </c>
      <c r="G28" s="15" t="s">
        <v>14</v>
      </c>
      <c r="H28" s="58" t="s">
        <v>153</v>
      </c>
      <c r="I28" s="25"/>
      <c r="J28" s="8"/>
      <c r="K28" s="7"/>
      <c r="L28" s="17"/>
      <c r="M28" s="17"/>
      <c r="N28" s="17"/>
      <c r="O28" s="17"/>
      <c r="P28" s="17"/>
      <c r="Q28" s="17"/>
      <c r="R28" s="17"/>
      <c r="S28" s="17"/>
      <c r="T28" s="17"/>
      <c r="U28" s="17"/>
      <c r="V28" s="17"/>
      <c r="W28" s="17"/>
    </row>
    <row r="29" spans="1:23">
      <c r="A29" s="17"/>
      <c r="B29" s="17"/>
      <c r="C29" s="25" t="s">
        <v>336</v>
      </c>
      <c r="D29" s="8"/>
      <c r="E29" s="135"/>
      <c r="F29" s="71">
        <v>1</v>
      </c>
      <c r="G29" s="15" t="s">
        <v>14</v>
      </c>
      <c r="H29" s="58" t="s">
        <v>153</v>
      </c>
      <c r="I29" s="25"/>
      <c r="J29" s="8"/>
      <c r="K29" s="7"/>
      <c r="L29" s="17"/>
      <c r="M29" s="17"/>
      <c r="N29" s="17"/>
      <c r="O29" s="17"/>
      <c r="P29" s="17"/>
      <c r="Q29" s="17"/>
      <c r="R29" s="17"/>
      <c r="S29" s="17"/>
      <c r="T29" s="17"/>
      <c r="U29" s="17"/>
      <c r="V29" s="17"/>
      <c r="W29" s="17"/>
    </row>
    <row r="30" spans="1:23">
      <c r="A30" s="17"/>
      <c r="B30" s="17"/>
      <c r="C30" s="25" t="s">
        <v>33</v>
      </c>
      <c r="D30" s="8"/>
      <c r="E30" s="135"/>
      <c r="F30" s="71">
        <v>0</v>
      </c>
      <c r="G30" s="15" t="s">
        <v>332</v>
      </c>
      <c r="H30" s="58" t="s">
        <v>153</v>
      </c>
      <c r="I30" s="25"/>
      <c r="J30" s="8"/>
      <c r="K30" s="7"/>
      <c r="L30" s="17"/>
      <c r="M30" s="17"/>
      <c r="N30" s="17"/>
      <c r="O30" s="17"/>
      <c r="P30" s="17"/>
      <c r="Q30" s="17"/>
      <c r="R30" s="17"/>
      <c r="S30" s="17"/>
      <c r="T30" s="17"/>
      <c r="U30" s="17"/>
      <c r="V30" s="17"/>
      <c r="W30" s="17"/>
    </row>
    <row r="31" spans="1:23">
      <c r="A31" s="17"/>
      <c r="B31" s="17"/>
      <c r="C31" s="25" t="s">
        <v>338</v>
      </c>
      <c r="D31" s="8"/>
      <c r="E31" s="135"/>
      <c r="F31" s="71">
        <v>100</v>
      </c>
      <c r="G31" s="15" t="s">
        <v>10</v>
      </c>
      <c r="H31" s="58" t="s">
        <v>153</v>
      </c>
      <c r="I31" s="25"/>
      <c r="J31" s="8"/>
      <c r="K31" s="7"/>
      <c r="L31" s="17"/>
      <c r="M31" s="17"/>
      <c r="N31" s="17"/>
      <c r="O31" s="17"/>
      <c r="P31" s="17"/>
      <c r="Q31" s="17"/>
      <c r="R31" s="17"/>
      <c r="S31" s="17"/>
      <c r="T31" s="17"/>
      <c r="U31" s="17"/>
      <c r="V31" s="17"/>
      <c r="W31" s="17"/>
    </row>
    <row r="32" spans="1:23">
      <c r="A32" s="17"/>
      <c r="B32" s="17"/>
      <c r="C32" s="17"/>
      <c r="D32" s="17"/>
      <c r="E32" s="17"/>
      <c r="F32" s="17"/>
      <c r="G32" s="17"/>
      <c r="H32" s="17"/>
      <c r="I32" s="17"/>
      <c r="J32" s="17"/>
      <c r="K32" s="17"/>
      <c r="L32" s="17"/>
      <c r="M32" s="17"/>
      <c r="N32" s="17"/>
      <c r="O32" s="17"/>
      <c r="P32" s="17"/>
      <c r="Q32" s="17"/>
      <c r="R32" s="17"/>
      <c r="S32" s="17"/>
      <c r="T32" s="17"/>
      <c r="U32" s="17"/>
      <c r="V32" s="17"/>
      <c r="W32" s="17"/>
    </row>
    <row r="33" spans="1:23">
      <c r="A33" s="17"/>
      <c r="B33" s="17" t="s">
        <v>1</v>
      </c>
      <c r="C33" s="17"/>
      <c r="D33" s="17"/>
      <c r="E33" s="17"/>
      <c r="F33" s="17"/>
      <c r="G33" s="17"/>
      <c r="H33" s="17"/>
      <c r="I33" s="17"/>
      <c r="J33" s="17"/>
      <c r="K33" s="17"/>
      <c r="L33" s="17"/>
      <c r="M33" s="17"/>
      <c r="N33" s="17"/>
      <c r="O33" s="17"/>
      <c r="P33" s="17"/>
      <c r="Q33" s="17"/>
      <c r="R33" s="17"/>
      <c r="S33" s="17"/>
      <c r="T33" s="17"/>
      <c r="U33" s="17"/>
      <c r="V33" s="17"/>
      <c r="W33" s="17"/>
    </row>
    <row r="34" spans="1:23" ht="24" customHeight="1">
      <c r="A34" s="17"/>
      <c r="B34" s="17"/>
      <c r="C34" s="133" t="s">
        <v>238</v>
      </c>
      <c r="D34" s="135"/>
      <c r="E34" s="41" t="s">
        <v>188</v>
      </c>
      <c r="F34" s="41" t="s">
        <v>189</v>
      </c>
      <c r="G34" s="66" t="s">
        <v>217</v>
      </c>
      <c r="H34" s="41" t="s">
        <v>236</v>
      </c>
      <c r="I34" s="72" t="s">
        <v>237</v>
      </c>
      <c r="J34" s="73"/>
      <c r="K34" s="74"/>
      <c r="L34" s="17"/>
      <c r="M34" s="17"/>
      <c r="N34" s="17"/>
      <c r="O34" s="17"/>
      <c r="P34" s="17"/>
      <c r="Q34" s="17"/>
      <c r="R34" s="17"/>
      <c r="S34" s="17"/>
      <c r="T34" s="17"/>
      <c r="U34" s="17"/>
      <c r="V34" s="17"/>
      <c r="W34" s="17"/>
    </row>
    <row r="35" spans="1:23" ht="13.5">
      <c r="A35" s="17"/>
      <c r="B35" s="17"/>
      <c r="C35" s="133" t="s">
        <v>239</v>
      </c>
      <c r="D35" s="134"/>
      <c r="E35" s="41" t="s">
        <v>92</v>
      </c>
      <c r="F35" s="67">
        <f>'1. Calculation sheet'!E23</f>
        <v>48</v>
      </c>
      <c r="G35" s="66" t="s">
        <v>10</v>
      </c>
      <c r="H35" s="58" t="s">
        <v>153</v>
      </c>
      <c r="I35" s="57" t="str">
        <f>'1. Calculation sheet'!G23</f>
        <v>7V to 76V</v>
      </c>
      <c r="J35" s="76"/>
      <c r="K35" s="60"/>
      <c r="L35" s="17"/>
      <c r="M35" s="17"/>
      <c r="N35" s="17"/>
      <c r="O35" s="17"/>
      <c r="P35" s="17"/>
      <c r="Q35" s="17"/>
      <c r="R35" s="17"/>
      <c r="S35" s="17"/>
      <c r="T35" s="17"/>
      <c r="U35" s="17"/>
      <c r="V35" s="17"/>
      <c r="W35" s="17"/>
    </row>
    <row r="36" spans="1:23" ht="13.5">
      <c r="A36" s="17"/>
      <c r="B36" s="17"/>
      <c r="C36" s="133" t="s">
        <v>240</v>
      </c>
      <c r="D36" s="134"/>
      <c r="E36" s="41" t="s">
        <v>93</v>
      </c>
      <c r="F36" s="81">
        <f>'1. Calculation sheet'!E39</f>
        <v>40</v>
      </c>
      <c r="G36" s="66" t="s">
        <v>10</v>
      </c>
      <c r="H36" s="75" t="str">
        <f>'1. Calculation sheet'!N39</f>
        <v>OK</v>
      </c>
      <c r="I36" s="57" t="str">
        <f>'1. Calculation sheet'!G24</f>
        <v>1.0V to 0.97xVINV</v>
      </c>
      <c r="J36" s="76"/>
      <c r="K36" s="60"/>
      <c r="L36" s="17"/>
      <c r="M36" s="17"/>
      <c r="N36" s="17"/>
      <c r="O36" s="17"/>
      <c r="P36" s="17"/>
      <c r="Q36" s="17"/>
      <c r="R36" s="17"/>
      <c r="S36" s="17"/>
      <c r="T36" s="17"/>
      <c r="U36" s="17"/>
      <c r="V36" s="17"/>
      <c r="W36" s="17"/>
    </row>
    <row r="37" spans="1:23" ht="13.5">
      <c r="A37" s="17"/>
      <c r="B37" s="17"/>
      <c r="C37" s="133" t="s">
        <v>241</v>
      </c>
      <c r="D37" s="134"/>
      <c r="E37" s="41" t="s">
        <v>242</v>
      </c>
      <c r="F37" s="128">
        <f>'1. Calculation sheet'!E57</f>
        <v>5</v>
      </c>
      <c r="G37" s="66" t="s">
        <v>243</v>
      </c>
      <c r="H37" s="41" t="s">
        <v>153</v>
      </c>
      <c r="I37" s="57"/>
      <c r="J37" s="76"/>
      <c r="K37" s="60"/>
      <c r="L37" s="17"/>
      <c r="M37" s="17"/>
      <c r="N37" s="17"/>
      <c r="O37" s="17"/>
      <c r="P37" s="19"/>
      <c r="Q37" s="19"/>
      <c r="R37" s="19"/>
      <c r="S37" s="19"/>
      <c r="T37" s="17"/>
      <c r="U37" s="17"/>
      <c r="V37" s="17"/>
      <c r="W37" s="17"/>
    </row>
    <row r="38" spans="1:23" ht="13.5">
      <c r="A38" s="17"/>
      <c r="B38" s="17"/>
      <c r="C38" s="57" t="s">
        <v>244</v>
      </c>
      <c r="D38" s="135"/>
      <c r="E38" s="41" t="s">
        <v>96</v>
      </c>
      <c r="F38" s="46">
        <f>'1. Calculation sheet'!E56</f>
        <v>0</v>
      </c>
      <c r="G38" s="70" t="s">
        <v>14</v>
      </c>
      <c r="H38" s="77" t="str">
        <f>'1. Calculation sheet'!N111</f>
        <v>OK</v>
      </c>
      <c r="I38" s="42"/>
      <c r="J38" s="59" t="s">
        <v>245</v>
      </c>
      <c r="K38" s="78">
        <f>'1. Calculation sheet'!E111</f>
        <v>79.343434343434495</v>
      </c>
      <c r="L38" s="17"/>
      <c r="M38" s="17"/>
      <c r="N38" s="17"/>
      <c r="O38" s="17"/>
      <c r="P38" s="19"/>
      <c r="Q38" s="19"/>
      <c r="R38" s="19"/>
      <c r="S38" s="19"/>
      <c r="T38" s="17"/>
      <c r="U38" s="17"/>
      <c r="V38" s="17"/>
      <c r="W38" s="17"/>
    </row>
    <row r="39" spans="1:23" ht="13.5">
      <c r="A39" s="17"/>
      <c r="B39" s="17"/>
      <c r="C39" s="115" t="s">
        <v>246</v>
      </c>
      <c r="D39" s="135"/>
      <c r="E39" s="41" t="s">
        <v>211</v>
      </c>
      <c r="F39" s="105">
        <f>'1. Calculation sheet'!E143</f>
        <v>9</v>
      </c>
      <c r="G39" s="66" t="s">
        <v>224</v>
      </c>
      <c r="H39" s="58" t="s">
        <v>153</v>
      </c>
      <c r="I39" s="57"/>
      <c r="J39" s="76"/>
      <c r="K39" s="60"/>
      <c r="L39" s="17"/>
      <c r="M39" s="17"/>
      <c r="N39" s="17"/>
      <c r="O39" s="17"/>
      <c r="P39" s="19"/>
      <c r="Q39" s="19"/>
      <c r="R39" s="19"/>
      <c r="S39" s="19"/>
      <c r="T39" s="17"/>
      <c r="U39" s="17"/>
      <c r="V39" s="17"/>
      <c r="W39" s="17"/>
    </row>
    <row r="40" spans="1:23" ht="13.5">
      <c r="A40" s="17"/>
      <c r="B40" s="17"/>
      <c r="C40" s="115" t="s">
        <v>247</v>
      </c>
      <c r="D40" s="135"/>
      <c r="E40" s="41" t="s">
        <v>213</v>
      </c>
      <c r="F40" s="105">
        <f>'1. Calculation sheet'!E144</f>
        <v>0.5</v>
      </c>
      <c r="G40" s="66" t="s">
        <v>224</v>
      </c>
      <c r="H40" s="58" t="s">
        <v>153</v>
      </c>
      <c r="I40" s="57"/>
      <c r="J40" s="76"/>
      <c r="K40" s="60"/>
      <c r="L40" s="17"/>
      <c r="M40" s="17"/>
      <c r="N40" s="17"/>
      <c r="O40" s="17"/>
      <c r="P40" s="19"/>
      <c r="Q40" s="19"/>
      <c r="R40" s="19"/>
      <c r="S40" s="19"/>
      <c r="T40" s="17"/>
      <c r="U40" s="17"/>
      <c r="V40" s="17"/>
      <c r="W40" s="17"/>
    </row>
    <row r="41" spans="1:23">
      <c r="A41" s="17"/>
      <c r="B41" s="17"/>
      <c r="C41" s="17"/>
      <c r="D41" s="17"/>
      <c r="E41" s="17"/>
      <c r="F41" s="17"/>
      <c r="G41" s="17"/>
      <c r="H41" s="17"/>
      <c r="I41" s="17"/>
      <c r="J41" s="17"/>
      <c r="K41" s="17"/>
      <c r="L41" s="17"/>
      <c r="M41" s="17"/>
      <c r="N41" s="17"/>
      <c r="O41" s="17"/>
      <c r="P41" s="17"/>
      <c r="Q41" s="17"/>
      <c r="R41" s="17"/>
      <c r="S41" s="17"/>
      <c r="T41" s="17"/>
      <c r="U41" s="17"/>
      <c r="V41" s="17"/>
      <c r="W41" s="17"/>
    </row>
    <row r="42" spans="1:23">
      <c r="A42" s="17"/>
      <c r="B42" s="17" t="s">
        <v>248</v>
      </c>
      <c r="C42" s="17"/>
      <c r="D42" s="17"/>
      <c r="E42" s="17"/>
      <c r="F42" s="17"/>
      <c r="G42" s="17"/>
      <c r="H42" s="17"/>
      <c r="I42" s="17"/>
      <c r="J42" s="17"/>
      <c r="K42" s="17"/>
      <c r="L42" s="17"/>
      <c r="M42" s="17"/>
      <c r="N42" s="17"/>
      <c r="O42" s="17"/>
      <c r="P42" s="17"/>
      <c r="Q42" s="17"/>
      <c r="R42" s="17"/>
      <c r="S42" s="17"/>
      <c r="T42" s="17"/>
      <c r="U42" s="17"/>
      <c r="V42" s="17"/>
      <c r="W42" s="17"/>
    </row>
    <row r="43" spans="1:23" ht="24" customHeight="1">
      <c r="A43" s="17"/>
      <c r="B43" s="17"/>
      <c r="C43" s="133" t="s">
        <v>238</v>
      </c>
      <c r="D43" s="135"/>
      <c r="E43" s="41" t="s">
        <v>188</v>
      </c>
      <c r="F43" s="66" t="s">
        <v>189</v>
      </c>
      <c r="G43" s="66" t="s">
        <v>217</v>
      </c>
      <c r="H43" s="41" t="s">
        <v>236</v>
      </c>
      <c r="I43" s="72" t="s">
        <v>237</v>
      </c>
      <c r="J43" s="73"/>
      <c r="K43" s="74"/>
      <c r="L43" s="17"/>
      <c r="M43" s="17"/>
      <c r="N43" s="17"/>
      <c r="O43" s="17"/>
      <c r="P43" s="17"/>
      <c r="Q43" s="17"/>
      <c r="R43" s="17"/>
      <c r="S43" s="17"/>
      <c r="T43" s="17"/>
      <c r="U43" s="17"/>
      <c r="V43" s="17"/>
      <c r="W43" s="17"/>
    </row>
    <row r="44" spans="1:23" ht="13.5">
      <c r="A44" s="17"/>
      <c r="B44" s="17"/>
      <c r="C44" s="178" t="s">
        <v>12</v>
      </c>
      <c r="D44" s="135" t="s">
        <v>21</v>
      </c>
      <c r="E44" s="41" t="s">
        <v>259</v>
      </c>
      <c r="F44" s="108">
        <f>'1. Calculation sheet'!E69</f>
        <v>1.5151515151515151</v>
      </c>
      <c r="G44" s="41" t="s">
        <v>11</v>
      </c>
      <c r="H44" s="58" t="s">
        <v>153</v>
      </c>
      <c r="I44" s="57"/>
      <c r="J44" s="76"/>
      <c r="K44" s="60"/>
      <c r="L44" s="17"/>
      <c r="M44" s="17"/>
      <c r="N44" s="17"/>
      <c r="O44" s="17"/>
      <c r="P44" s="17"/>
      <c r="Q44" s="17"/>
      <c r="R44" s="17"/>
      <c r="S44" s="17"/>
      <c r="T44" s="17"/>
      <c r="U44" s="17"/>
      <c r="V44" s="17"/>
      <c r="W44" s="17"/>
    </row>
    <row r="45" spans="1:23" ht="13.5">
      <c r="A45" s="17"/>
      <c r="B45" s="17"/>
      <c r="C45" s="179"/>
      <c r="D45" s="79" t="s">
        <v>22</v>
      </c>
      <c r="E45" s="41" t="s">
        <v>260</v>
      </c>
      <c r="F45" s="46">
        <f>'1. Calculation sheet'!E82</f>
        <v>49.708624708624704</v>
      </c>
      <c r="G45" s="41" t="s">
        <v>15</v>
      </c>
      <c r="H45" s="58" t="s">
        <v>153</v>
      </c>
      <c r="I45" s="57"/>
      <c r="J45" s="76"/>
      <c r="K45" s="60"/>
      <c r="L45" s="17"/>
      <c r="M45" s="17"/>
      <c r="N45" s="17"/>
      <c r="O45" s="17"/>
      <c r="P45" s="17"/>
      <c r="Q45" s="17"/>
      <c r="R45" s="17"/>
      <c r="S45" s="17"/>
      <c r="T45" s="17"/>
      <c r="U45" s="17"/>
      <c r="V45" s="17"/>
      <c r="W45" s="17"/>
    </row>
    <row r="46" spans="1:23" ht="13.5">
      <c r="A46" s="17"/>
      <c r="B46" s="17"/>
      <c r="C46" s="179"/>
      <c r="D46" s="82" t="s">
        <v>249</v>
      </c>
      <c r="E46" s="41" t="s">
        <v>250</v>
      </c>
      <c r="F46" s="46">
        <f>'1. Calculation sheet'!E91</f>
        <v>0.34666666666666668</v>
      </c>
      <c r="G46" s="104" t="s">
        <v>243</v>
      </c>
      <c r="H46" s="58" t="s">
        <v>153</v>
      </c>
      <c r="I46" s="57"/>
      <c r="J46" s="76"/>
      <c r="K46" s="60"/>
      <c r="L46" s="17"/>
      <c r="M46" s="17"/>
      <c r="N46" s="17"/>
      <c r="O46" s="17"/>
      <c r="P46" s="17"/>
      <c r="Q46" s="17"/>
      <c r="R46" s="17"/>
      <c r="S46" s="17"/>
      <c r="T46" s="17"/>
      <c r="U46" s="17"/>
      <c r="V46" s="17"/>
      <c r="W46" s="17"/>
    </row>
    <row r="47" spans="1:23" ht="13.5">
      <c r="A47" s="17"/>
      <c r="B47" s="17"/>
      <c r="C47" s="180"/>
      <c r="D47" s="60" t="s">
        <v>251</v>
      </c>
      <c r="E47" s="41" t="s">
        <v>340</v>
      </c>
      <c r="F47" s="81">
        <f>'1. Calculation sheet'!$E$97</f>
        <v>6.1042424242424245</v>
      </c>
      <c r="G47" s="80" t="s">
        <v>11</v>
      </c>
      <c r="H47" s="77" t="str">
        <f>'1. Calculation sheet'!$N$97</f>
        <v>OK</v>
      </c>
      <c r="I47" s="57" t="str">
        <f>"&lt; "&amp;'1. Calculation sheet'!E63&amp;" A"</f>
        <v>&lt; 6,4 A</v>
      </c>
      <c r="J47" s="76"/>
      <c r="K47" s="60"/>
      <c r="L47" s="17"/>
      <c r="M47" s="17"/>
      <c r="N47" s="17"/>
      <c r="O47" s="17"/>
      <c r="P47" s="17"/>
      <c r="Q47" s="17"/>
      <c r="R47" s="17"/>
      <c r="S47" s="17"/>
      <c r="T47" s="17"/>
      <c r="U47" s="17"/>
      <c r="V47" s="17"/>
      <c r="W47" s="17"/>
    </row>
    <row r="48" spans="1:23" ht="13.5">
      <c r="A48" s="17"/>
      <c r="B48" s="17"/>
      <c r="C48" s="181" t="str">
        <f>'1. Calculation sheet'!C121</f>
        <v>Switching Frequency Using RT Pin</v>
      </c>
      <c r="D48" s="172"/>
      <c r="E48" s="41" t="s">
        <v>342</v>
      </c>
      <c r="F48" s="81">
        <f>'1. Calculation sheet'!E132</f>
        <v>392.76962817131221</v>
      </c>
      <c r="G48" s="80" t="s">
        <v>273</v>
      </c>
      <c r="H48" s="77" t="str">
        <f>'1. Calculation sheet'!N131</f>
        <v>OK</v>
      </c>
      <c r="I48" s="57" t="str">
        <f>'1. Calculation sheet'!G121</f>
        <v>200 kHz (typ); 100 kHz to 650 kHz</v>
      </c>
      <c r="J48" s="76"/>
      <c r="K48" s="60"/>
      <c r="L48" s="17"/>
      <c r="M48" s="17"/>
      <c r="N48" s="17"/>
      <c r="O48" s="17"/>
      <c r="P48" s="17"/>
      <c r="Q48" s="17"/>
      <c r="R48" s="17"/>
      <c r="S48" s="17"/>
      <c r="T48" s="17"/>
      <c r="U48" s="17"/>
      <c r="V48" s="17"/>
      <c r="W48" s="17"/>
    </row>
    <row r="49" spans="1:23" ht="13.5">
      <c r="A49" s="17"/>
      <c r="B49" s="17"/>
      <c r="C49" s="136" t="s">
        <v>252</v>
      </c>
      <c r="D49" s="115" t="s">
        <v>344</v>
      </c>
      <c r="E49" s="41" t="s">
        <v>323</v>
      </c>
      <c r="F49" s="81">
        <f>'1. Calculation sheet'!E156</f>
        <v>105.01895442000166</v>
      </c>
      <c r="G49" s="62" t="s">
        <v>295</v>
      </c>
      <c r="H49" s="58" t="s">
        <v>153</v>
      </c>
      <c r="I49" s="57"/>
      <c r="J49" s="76"/>
      <c r="K49" s="60"/>
      <c r="L49" s="17"/>
      <c r="M49" s="17"/>
      <c r="N49" s="17"/>
      <c r="O49" s="17"/>
      <c r="P49" s="17"/>
      <c r="Q49" s="17"/>
      <c r="R49" s="17"/>
      <c r="S49" s="17"/>
      <c r="T49" s="17"/>
      <c r="U49" s="17"/>
      <c r="V49" s="17"/>
      <c r="W49" s="17"/>
    </row>
    <row r="50" spans="1:23" ht="13.5">
      <c r="A50" s="17"/>
      <c r="B50" s="17"/>
      <c r="C50" s="132" t="s">
        <v>253</v>
      </c>
      <c r="D50" s="115" t="s">
        <v>345</v>
      </c>
      <c r="E50" s="41" t="s">
        <v>324</v>
      </c>
      <c r="F50" s="81">
        <f>'1. Calculation sheet'!E163</f>
        <v>3030.9755790442919</v>
      </c>
      <c r="G50" s="63" t="s">
        <v>207</v>
      </c>
      <c r="H50" s="58" t="s">
        <v>153</v>
      </c>
      <c r="I50" s="57"/>
      <c r="J50" s="76"/>
      <c r="K50" s="60"/>
      <c r="L50" s="17"/>
      <c r="M50" s="17"/>
      <c r="N50" s="17"/>
      <c r="O50" s="17"/>
      <c r="P50" s="17"/>
      <c r="Q50" s="17"/>
      <c r="R50" s="17"/>
      <c r="S50" s="17"/>
      <c r="T50" s="17"/>
      <c r="U50" s="17"/>
      <c r="V50" s="17"/>
      <c r="W50" s="17"/>
    </row>
    <row r="51" spans="1:23" ht="13.5">
      <c r="A51" s="17"/>
      <c r="B51" s="17"/>
      <c r="C51" s="137"/>
      <c r="D51" s="115" t="s">
        <v>254</v>
      </c>
      <c r="E51" s="61" t="s">
        <v>255</v>
      </c>
      <c r="F51" s="81">
        <f>'1. Calculation sheet'!N157</f>
        <v>9.4268697062122655</v>
      </c>
      <c r="G51" s="41" t="s">
        <v>224</v>
      </c>
      <c r="H51" s="58" t="s">
        <v>153</v>
      </c>
      <c r="I51" s="57"/>
      <c r="J51" s="76"/>
      <c r="K51" s="60"/>
      <c r="L51" s="17"/>
      <c r="M51" s="17"/>
      <c r="N51" s="17"/>
      <c r="O51" s="17"/>
      <c r="P51" s="17"/>
      <c r="Q51" s="17"/>
      <c r="R51" s="17"/>
      <c r="S51" s="17"/>
      <c r="T51" s="17"/>
      <c r="U51" s="17"/>
      <c r="V51" s="17"/>
      <c r="W51" s="17"/>
    </row>
    <row r="52" spans="1:23" ht="13.5">
      <c r="A52" s="17"/>
      <c r="B52" s="17"/>
      <c r="C52" s="138"/>
      <c r="D52" s="115" t="s">
        <v>256</v>
      </c>
      <c r="E52" s="61" t="s">
        <v>257</v>
      </c>
      <c r="F52" s="81">
        <f>'1. Calculation sheet'!N164</f>
        <v>0.91847744819524035</v>
      </c>
      <c r="G52" s="41" t="s">
        <v>224</v>
      </c>
      <c r="H52" s="58" t="s">
        <v>153</v>
      </c>
      <c r="I52" s="57"/>
      <c r="J52" s="76"/>
      <c r="K52" s="60"/>
      <c r="L52" s="17"/>
      <c r="M52" s="17"/>
      <c r="N52" s="17"/>
      <c r="O52" s="17"/>
      <c r="P52" s="17"/>
      <c r="Q52" s="17"/>
      <c r="R52" s="17"/>
      <c r="S52" s="17"/>
      <c r="T52" s="17"/>
      <c r="U52" s="17"/>
      <c r="V52" s="17"/>
      <c r="W52" s="17"/>
    </row>
    <row r="53" spans="1:23">
      <c r="A53" s="17"/>
      <c r="B53" s="17"/>
      <c r="C53" s="17"/>
      <c r="D53" s="17"/>
      <c r="E53" s="17"/>
      <c r="F53" s="17"/>
      <c r="G53" s="17"/>
      <c r="H53" s="17"/>
      <c r="I53" s="17"/>
      <c r="J53" s="17"/>
      <c r="K53" s="17"/>
      <c r="L53" s="17"/>
      <c r="M53" s="17"/>
      <c r="N53" s="17"/>
      <c r="O53" s="17"/>
      <c r="P53" s="17"/>
      <c r="Q53" s="17"/>
      <c r="R53" s="17"/>
      <c r="S53" s="17"/>
      <c r="T53" s="17"/>
      <c r="U53" s="17"/>
      <c r="V53" s="17"/>
      <c r="W53" s="17"/>
    </row>
    <row r="54" spans="1:23" ht="15" customHeight="1">
      <c r="A54" s="17"/>
      <c r="B54" s="17"/>
      <c r="C54" s="17"/>
      <c r="D54" s="17"/>
      <c r="E54" s="17"/>
      <c r="F54" s="17"/>
      <c r="G54" s="17"/>
      <c r="H54" s="17"/>
      <c r="I54" s="17"/>
      <c r="J54" s="17"/>
      <c r="K54" s="17"/>
      <c r="L54" s="17"/>
      <c r="M54" s="17"/>
      <c r="N54" s="17"/>
      <c r="O54" s="17"/>
      <c r="P54" s="17"/>
      <c r="Q54" s="17"/>
      <c r="R54" s="17"/>
      <c r="S54" s="17"/>
      <c r="T54" s="17"/>
      <c r="U54" s="17"/>
      <c r="V54" s="17"/>
      <c r="W54" s="17"/>
    </row>
    <row r="55" spans="1:23">
      <c r="A55" s="17"/>
      <c r="B55" s="17"/>
      <c r="C55" s="17"/>
      <c r="D55" s="17"/>
      <c r="E55" s="17"/>
      <c r="F55" s="17"/>
      <c r="G55" s="17"/>
      <c r="H55" s="17"/>
      <c r="I55" s="17" t="s">
        <v>24</v>
      </c>
      <c r="J55" s="17"/>
      <c r="K55" s="17"/>
      <c r="L55" s="17"/>
      <c r="M55" s="17"/>
      <c r="N55" s="17"/>
      <c r="O55" s="17"/>
      <c r="P55" s="17"/>
      <c r="Q55" s="17"/>
      <c r="R55" s="17"/>
      <c r="S55" s="17"/>
      <c r="T55" s="17"/>
      <c r="U55" s="17"/>
      <c r="V55" s="17"/>
      <c r="W55" s="17"/>
    </row>
    <row r="56" spans="1:23">
      <c r="A56" s="17"/>
      <c r="B56" s="17"/>
      <c r="C56" s="17"/>
      <c r="D56" s="17"/>
      <c r="E56" s="17"/>
      <c r="F56" s="17"/>
      <c r="G56" s="17"/>
      <c r="H56" s="17"/>
      <c r="I56" s="17" t="s">
        <v>8</v>
      </c>
      <c r="J56" s="17"/>
      <c r="K56" s="17"/>
      <c r="L56" s="17"/>
      <c r="M56" s="17"/>
      <c r="N56" s="17"/>
      <c r="O56" s="17"/>
      <c r="P56" s="17"/>
      <c r="Q56" s="17"/>
      <c r="R56" s="17"/>
      <c r="S56" s="17"/>
      <c r="T56" s="17"/>
      <c r="U56" s="17"/>
      <c r="V56" s="17"/>
      <c r="W56" s="17"/>
    </row>
  </sheetData>
  <sheetProtection algorithmName="SHA-512" hashValue="bGlCar2nJG0CALTu6Ewk/vGuyxNYA5Rd1kOBGLHJu1mOZ9n/G9FFD/q7luAnw1xRv8o48Vt/BnFIEsZFxyOqrg==" saltValue="9Q8R5T7NWJJPF3ZU1zWVxA==" spinCount="100000" sheet="1" objects="1" scenarios="1" selectLockedCells="1"/>
  <mergeCells count="5">
    <mergeCell ref="C44:C47"/>
    <mergeCell ref="C48:D48"/>
    <mergeCell ref="C19:C20"/>
    <mergeCell ref="C21:C23"/>
    <mergeCell ref="I15:K15"/>
  </mergeCells>
  <phoneticPr fontId="1"/>
  <conditionalFormatting sqref="F19 F21:F22 F38 F47">
    <cfRule type="expression" dxfId="3" priority="198">
      <formula>$H$47="NG"</formula>
    </cfRule>
  </conditionalFormatting>
  <conditionalFormatting sqref="F38">
    <cfRule type="expression" dxfId="2" priority="1">
      <formula>$H$38="NG"</formula>
    </cfRule>
  </conditionalFormatting>
  <conditionalFormatting sqref="F48">
    <cfRule type="expression" dxfId="1" priority="4">
      <formula>$H$48="NG"</formula>
    </cfRule>
  </conditionalFormatting>
  <conditionalFormatting sqref="H1:H1048576">
    <cfRule type="cellIs" dxfId="0" priority="29" operator="equal">
      <formula>"NG"</formula>
    </cfRule>
  </conditionalFormatting>
  <pageMargins left="0.7" right="0.7" top="0.75" bottom="0.75" header="0.3" footer="0.3"/>
  <pageSetup paperSize="9" scale="54"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E16"/>
  <sheetViews>
    <sheetView showGridLines="0" zoomScaleNormal="100" zoomScaleSheetLayoutView="100" workbookViewId="0"/>
  </sheetViews>
  <sheetFormatPr baseColWidth="10" defaultColWidth="9" defaultRowHeight="12"/>
  <cols>
    <col min="1" max="2" width="9" style="111"/>
    <col min="3" max="3" width="14.28515625" style="111" customWidth="1"/>
    <col min="4" max="4" width="67.140625" style="111" customWidth="1"/>
    <col min="5" max="16384" width="9" style="111"/>
  </cols>
  <sheetData>
    <row r="1" spans="1:5">
      <c r="A1" s="110"/>
      <c r="B1" s="110"/>
      <c r="C1" s="110"/>
      <c r="D1" s="110"/>
      <c r="E1" s="110"/>
    </row>
    <row r="2" spans="1:5">
      <c r="A2" s="110"/>
      <c r="B2" s="110"/>
      <c r="C2" s="110"/>
      <c r="D2" s="110"/>
      <c r="E2" s="110"/>
    </row>
    <row r="3" spans="1:5">
      <c r="A3" s="110"/>
      <c r="B3" s="110"/>
      <c r="C3" s="110"/>
      <c r="D3" s="110"/>
      <c r="E3" s="110"/>
    </row>
    <row r="4" spans="1:5">
      <c r="A4" s="110"/>
      <c r="B4" s="112" t="s">
        <v>2</v>
      </c>
      <c r="C4" s="112" t="s">
        <v>3</v>
      </c>
      <c r="D4" s="112" t="s">
        <v>4</v>
      </c>
      <c r="E4" s="110"/>
    </row>
    <row r="5" spans="1:5">
      <c r="A5" s="110"/>
      <c r="B5" s="112" t="s">
        <v>184</v>
      </c>
      <c r="C5" s="112" t="s">
        <v>356</v>
      </c>
      <c r="D5" s="112" t="s">
        <v>185</v>
      </c>
      <c r="E5" s="110"/>
    </row>
    <row r="6" spans="1:5">
      <c r="A6" s="110"/>
      <c r="B6" s="112" t="s">
        <v>360</v>
      </c>
      <c r="C6" s="112" t="s">
        <v>361</v>
      </c>
      <c r="D6" s="112" t="s">
        <v>368</v>
      </c>
      <c r="E6" s="110"/>
    </row>
    <row r="7" spans="1:5">
      <c r="A7" s="110"/>
      <c r="B7" s="112"/>
      <c r="C7" s="112"/>
      <c r="D7" s="112"/>
      <c r="E7" s="110"/>
    </row>
    <row r="8" spans="1:5">
      <c r="A8" s="110"/>
      <c r="B8" s="112"/>
      <c r="C8" s="112"/>
      <c r="D8" s="112"/>
      <c r="E8" s="110"/>
    </row>
    <row r="9" spans="1:5">
      <c r="A9" s="110"/>
      <c r="B9" s="112"/>
      <c r="C9" s="112"/>
      <c r="D9" s="112"/>
      <c r="E9" s="110"/>
    </row>
    <row r="10" spans="1:5">
      <c r="A10" s="110"/>
      <c r="B10" s="112"/>
      <c r="C10" s="112"/>
      <c r="D10" s="112"/>
      <c r="E10" s="110"/>
    </row>
    <row r="11" spans="1:5">
      <c r="A11" s="110"/>
      <c r="B11" s="112"/>
      <c r="C11" s="112"/>
      <c r="D11" s="112"/>
      <c r="E11" s="110"/>
    </row>
    <row r="12" spans="1:5">
      <c r="A12" s="110"/>
      <c r="B12" s="112"/>
      <c r="C12" s="112"/>
      <c r="D12" s="112"/>
      <c r="E12" s="110"/>
    </row>
    <row r="13" spans="1:5">
      <c r="A13" s="110"/>
      <c r="B13" s="112"/>
      <c r="C13" s="112"/>
      <c r="D13" s="112"/>
      <c r="E13" s="110"/>
    </row>
    <row r="14" spans="1:5">
      <c r="A14" s="110"/>
      <c r="B14" s="112"/>
      <c r="C14" s="112"/>
      <c r="D14" s="112"/>
      <c r="E14" s="110"/>
    </row>
    <row r="15" spans="1:5">
      <c r="A15" s="110"/>
      <c r="B15" s="112"/>
      <c r="C15" s="112"/>
      <c r="D15" s="112"/>
      <c r="E15" s="110"/>
    </row>
    <row r="16" spans="1:5">
      <c r="A16" s="110"/>
      <c r="B16" s="110"/>
      <c r="C16" s="110"/>
      <c r="D16" s="110"/>
      <c r="E16" s="110"/>
    </row>
  </sheetData>
  <sheetProtection algorithmName="SHA-512" hashValue="y+wOIWunkzTU4fMlzJAvOsNNREayAayLJP8yY4rgAnffaAqqVZGtNoGvwBJ9ZppEtOQ5IcHrztwD3inHfnv6Iw==" saltValue="Az0ea7AVuBS7nf6OCsKQiw==" spinCount="100000" sheet="1" objects="1" scenarios="1" selectLockedCells="1"/>
  <phoneticPr fontId="1"/>
  <pageMargins left="0.7" right="0.7" top="0.75" bottom="0.75" header="0.3" footer="0.3"/>
  <pageSetup paperSize="9" scale="8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59AC138EE010548BAF41C593271DEC3" ma:contentTypeVersion="2" ma:contentTypeDescription="Create a new document." ma:contentTypeScope="" ma:versionID="bae6fbff01475db19babc8ad1a70232a">
  <xsd:schema xmlns:xsd="http://www.w3.org/2001/XMLSchema" xmlns:xs="http://www.w3.org/2001/XMLSchema" xmlns:p="http://schemas.microsoft.com/office/2006/metadata/properties" xmlns:ns2="f3d9db98-44e3-461e-91bf-8e1cf7f7144d" targetNamespace="http://schemas.microsoft.com/office/2006/metadata/properties" ma:root="true" ma:fieldsID="be89809f14e40203e2a189da1e3263ca" ns2:_="">
    <xsd:import namespace="f3d9db98-44e3-461e-91bf-8e1cf7f7144d"/>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d9db98-44e3-461e-91bf-8e1cf7f714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B4F6A2F-174C-4000-9C80-742F78BD9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d9db98-44e3-461e-91bf-8e1cf7f714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6B263A1-CB93-48AE-B114-041184C5BFBD}">
  <ds:schemaRefs>
    <ds:schemaRef ds:uri="http://schemas.microsoft.com/sharepoint/v3/contenttype/forms"/>
  </ds:schemaRefs>
</ds:datastoreItem>
</file>

<file path=customXml/itemProps3.xml><?xml version="1.0" encoding="utf-8"?>
<ds:datastoreItem xmlns:ds="http://schemas.openxmlformats.org/officeDocument/2006/customXml" ds:itemID="{F81ABCCB-D403-4FA8-A792-9B55C49F8680}">
  <ds:schemaRefs>
    <ds:schemaRef ds:uri="http://schemas.openxmlformats.org/package/2006/metadata/core-properties"/>
    <ds:schemaRef ds:uri="http://purl.org/dc/dcmitype/"/>
    <ds:schemaRef ds:uri="30a2570b-d5f1-4b56-8b9d-471fd9c23c6f"/>
    <ds:schemaRef ds:uri="7af4ce02-a929-4a00-b622-4619f9f6c716"/>
    <ds:schemaRef ds:uri="http://schemas.microsoft.com/office/2006/documentManagement/types"/>
    <ds:schemaRef ds:uri="http://purl.org/dc/elements/1.1/"/>
    <ds:schemaRef ds:uri="http://schemas.microsoft.com/office/2006/metadata/properties"/>
    <ds:schemaRef ds:uri="http://purl.org/dc/term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License Agreement</vt:lpstr>
      <vt:lpstr>How to use</vt:lpstr>
      <vt:lpstr>1. Calculation sheet</vt:lpstr>
      <vt:lpstr>2. Calculation summary</vt:lpstr>
      <vt:lpstr>rev history</vt:lpstr>
      <vt:lpstr>'1. Calculation sheet'!Área_de_impresión</vt:lpstr>
      <vt:lpstr>'2. Calculation summary'!Área_de_impresión</vt:lpstr>
      <vt:lpstr>'How to use'!Área_de_impresión</vt:lpstr>
      <vt:lpstr>'License Agreement'!Área_de_impresión</vt:lpstr>
      <vt:lpstr>'rev history'!Área_de_impresión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2025-12-17T18:04:52Z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0x010100159AC138EE010548BAF41C593271DEC3</vt:lpwstr>
  </property>
</Properties>
</file>